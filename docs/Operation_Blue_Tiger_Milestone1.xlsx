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ocuses" sheetId="2" state="visible" r:id="rId4"/>
    <sheet name="Spirits" sheetId="3" state="visible" r:id="rId5"/>
    <sheet name="Variables" sheetId="4" state="visible" r:id="rId6"/>
    <sheet name="Files Changed" sheetId="5" state="visible" r:id="rId7"/>
  </sheets>
  <definedNames>
    <definedName function="false" hidden="true" localSheetId="1" name="_xlnm._FilterDatabase" vbProcedure="false">Focuses!$A$1:$M$248</definedName>
    <definedName function="false" hidden="true" localSheetId="2" name="_xlnm._FilterDatabase" vbProcedure="false">Spirits!$A$1:$F$49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<sst xmlns="http://schemas.openxmlformats.org/spreadsheetml/2006/main" count="2487" uniqueCount="1099">
  <si>
    <t xml:space="preserve">Operation Blue Tiger: Milestone 1</t>
  </si>
  <si>
    <t xml:space="preserve">Mod</t>
  </si>
  <si>
    <t xml:space="preserve">Millennium Dawn: Developer Version</t>
  </si>
  <si>
    <t xml:space="preserve">Descriptor version</t>
  </si>
  <si>
    <t xml:space="preserve">2.0.0 (changelog in progress: v2.0.1)</t>
  </si>
  <si>
    <t xml:space="preserve">HOI4 supported</t>
  </si>
  <si>
    <t xml:space="preserve">1.19.*</t>
  </si>
  <si>
    <t xml:space="preserve">Repository</t>
  </si>
  <si>
    <t xml:space="preserve">D:\Projects\Millennium-Dawn</t>
  </si>
  <si>
    <t xml:space="preserve">Branch</t>
  </si>
  <si>
    <t xml:space="preserve">obt-taiwan-overhaul</t>
  </si>
  <si>
    <t xml:space="preserve">Base commit</t>
  </si>
  <si>
    <t xml:space="preserve">f198c6c8db (upstream main, 2 Oct 2026)</t>
  </si>
  <si>
    <t xml:space="preserve">Focuses</t>
  </si>
  <si>
    <t xml:space="preserve">Total days</t>
  </si>
  <si>
    <t xml:space="preserve">In-game tested</t>
  </si>
  <si>
    <t xml:space="preserve">The 2000 Succession</t>
  </si>
  <si>
    <t xml:space="preserve">Democratic Fortress</t>
  </si>
  <si>
    <t xml:space="preserve">The National Army</t>
  </si>
  <si>
    <t xml:space="preserve">The Silicon Island</t>
  </si>
  <si>
    <t xml:space="preserve">Across the Strait</t>
  </si>
  <si>
    <t xml:space="preserve">The Pacific Lifeline</t>
  </si>
  <si>
    <t xml:space="preserve">Operation Blue Tiger</t>
  </si>
  <si>
    <t xml:space="preserve">Total</t>
  </si>
  <si>
    <t xml:space="preserve">National spirits</t>
  </si>
  <si>
    <t xml:space="preserve">Starting spirits</t>
  </si>
  <si>
    <t xml:space="preserve">How to use</t>
  </si>
  <si>
    <t xml:space="preserve">On the Focuses sheet, the yellow Status and Notes columns are yours to edit. Set Status from the dropdown (for example "In-game tested") and the In-game tested column above updates.</t>
  </si>
  <si>
    <t xml:space="preserve">Focus days are game days; HOI4 focus cost = days / 7.</t>
  </si>
  <si>
    <t xml:space="preserve">Focus ID</t>
  </si>
  <si>
    <t xml:space="preserve">Name</t>
  </si>
  <si>
    <t xml:space="preserve">Track</t>
  </si>
  <si>
    <t xml:space="preserve">Days</t>
  </si>
  <si>
    <t xml:space="preserve">Prerequisites</t>
  </si>
  <si>
    <t xml:space="preserve">Mutually exclusive</t>
  </si>
  <si>
    <t xml:space="preserve">Requirements</t>
  </si>
  <si>
    <t xml:space="preserve">Effects</t>
  </si>
  <si>
    <t xml:space="preserve">Content type</t>
  </si>
  <si>
    <t xml:space="preserve">AI weight</t>
  </si>
  <si>
    <t xml:space="preserve">Status</t>
  </si>
  <si>
    <t xml:space="preserve">Notes</t>
  </si>
  <si>
    <t xml:space="preserve">TAI_su_millennium_election</t>
  </si>
  <si>
    <t xml:space="preserve">The Millennium Election</t>
  </si>
  <si>
    <t xml:space="preserve">Shared trunk</t>
  </si>
  <si>
    <t xml:space="preserve">+50 Political Power</t>
  </si>
  <si>
    <t xml:space="preserve">Historical / abstraction</t>
  </si>
  <si>
    <t xml:space="preserve">Written</t>
  </si>
  <si>
    <t xml:space="preserve">TAI_su_heal_kmt_split</t>
  </si>
  <si>
    <t xml:space="preserve">Heal the KMT Split</t>
  </si>
  <si>
    <t xml:space="preserve">Let the Voters Decide</t>
  </si>
  <si>
    <t xml:space="preserve">Before 2000.3.18</t>
  </si>
  <si>
    <t xml:space="preserve">Party 1 popularity +4%; Party 14 popularity -4%; -2% Stability</t>
  </si>
  <si>
    <t xml:space="preserve">TAI_su_voters_decide</t>
  </si>
  <si>
    <t xml:space="preserve">+3% Stability; +25 Political Power</t>
  </si>
  <si>
    <t xml:space="preserve">TAI_su_lee_legacy</t>
  </si>
  <si>
    <t xml:space="preserve">Lee Teng-hui's Legacy</t>
  </si>
  <si>
    <t xml:space="preserve">Taiwan-Centered Identity +5; Strait Tension (CHI) +3; +25 Political Power</t>
  </si>
  <si>
    <t xml:space="preserve">TAI_su_peaceful_transfer</t>
  </si>
  <si>
    <t xml:space="preserve">The Peaceful Transfer of Power</t>
  </si>
  <si>
    <t xml:space="preserve">Heal the KMT Split or Let the Voters Decide</t>
  </si>
  <si>
    <t xml:space="preserve">After the 2000 election</t>
  </si>
  <si>
    <t xml:space="preserve">+5% Stability; Military Confidence -5; +50 Political Power</t>
  </si>
  <si>
    <t xml:space="preserve">TAI_su_form_cabinet</t>
  </si>
  <si>
    <t xml:space="preserve">Form the Cabinet</t>
  </si>
  <si>
    <t xml:space="preserve">Military Confidence +5; +25 Political Power</t>
  </si>
  <si>
    <t xml:space="preserve">TAI_su_minority_government</t>
  </si>
  <si>
    <t xml:space="preserve">A Government Without a Majority</t>
  </si>
  <si>
    <t xml:space="preserve">A Unified Government</t>
  </si>
  <si>
    <t xml:space="preserve">No LY majority</t>
  </si>
  <si>
    <t xml:space="preserve">Add spirit TAI_divided_government; +50 Political Power</t>
  </si>
  <si>
    <t xml:space="preserve">TAI_su_unified_government</t>
  </si>
  <si>
    <t xml:space="preserve">LY majority</t>
  </si>
  <si>
    <t xml:space="preserve">+75 Political Power; -2% Stability</t>
  </si>
  <si>
    <t xml:space="preserve">TAI_su_fourth_nuclear</t>
  </si>
  <si>
    <t xml:space="preserve">The Fourth Nuclear Plant Question</t>
  </si>
  <si>
    <t xml:space="preserve">A Government Without a Majority or A Unified Government</t>
  </si>
  <si>
    <t xml:space="preserve">Research bonus nuclear_reactors; -2% Stability</t>
  </si>
  <si>
    <t xml:space="preserve">TAI_su_2001_recession</t>
  </si>
  <si>
    <t xml:space="preserve">Weather the 2001 Recession</t>
  </si>
  <si>
    <t xml:space="preserve">After 2001.1.1</t>
  </si>
  <si>
    <t xml:space="preserve">-3bn Treasury; +4% Stability; Timed spirit TAI_recession_relief (365 days)</t>
  </si>
  <si>
    <t xml:space="preserve">TAI_su_ly_2001</t>
  </si>
  <si>
    <t xml:space="preserve">The 2001 Legislative Election</t>
  </si>
  <si>
    <t xml:space="preserve">After 2001.6.1</t>
  </si>
  <si>
    <t xml:space="preserve">Ruling camp popularity +2%; +25 Political Power</t>
  </si>
  <si>
    <t xml:space="preserve">TAI_su_second_mandate</t>
  </si>
  <si>
    <t xml:space="preserve">Seek a Second Mandate</t>
  </si>
  <si>
    <t xml:space="preserve">After 2003.6.1</t>
  </si>
  <si>
    <t xml:space="preserve">Ruling camp popularity +2%; +2% Stability</t>
  </si>
  <si>
    <t xml:space="preserve">TAI_su_heal_divided_island</t>
  </si>
  <si>
    <t xml:space="preserve">Healing a Divided Island</t>
  </si>
  <si>
    <t xml:space="preserve">After 2004.3.21</t>
  </si>
  <si>
    <t xml:space="preserve">+5% Stability; Pressure to Negotiate -3</t>
  </si>
  <si>
    <t xml:space="preserve">TAI_su_second_test</t>
  </si>
  <si>
    <t xml:space="preserve">Democracy's Second Test</t>
  </si>
  <si>
    <t xml:space="preserve">After 2007.6.1</t>
  </si>
  <si>
    <t xml:space="preserve">+4% Stability; +50 Political Power</t>
  </si>
  <si>
    <t xml:space="preserve">TAI_su_dpp_four_noes</t>
  </si>
  <si>
    <t xml:space="preserve">Four Noes and One Without</t>
  </si>
  <si>
    <t xml:space="preserve">DPP path</t>
  </si>
  <si>
    <t xml:space="preserve">Pan-Green governing</t>
  </si>
  <si>
    <t xml:space="preserve">Strait Tension (CHI) -8; U.S. Confidence in Taipei +10; Cross-Strait Trust (CHI) +5</t>
  </si>
  <si>
    <t xml:space="preserve">TAI_su_dpp_cautious_revolutionary</t>
  </si>
  <si>
    <t xml:space="preserve">The Cautious Revolutionary</t>
  </si>
  <si>
    <t xml:space="preserve">+3% Stability; Military Confidence +5; +50 Political Power</t>
  </si>
  <si>
    <t xml:space="preserve">TAI_su_dpp_taiwan_centered</t>
  </si>
  <si>
    <t xml:space="preserve">A Taiwan-Centered State</t>
  </si>
  <si>
    <t xml:space="preserve">Taiwan-Centered Identity +8; Strait Tension (CHI) +4; Cross-Strait Trust (CHI) -4</t>
  </si>
  <si>
    <t xml:space="preserve">TAI_su_dpp_referendum_act</t>
  </si>
  <si>
    <t xml:space="preserve">The Referendum Act</t>
  </si>
  <si>
    <t xml:space="preserve">Pan-Green governing; Can pass legislation (LY); After 2003.1.1</t>
  </si>
  <si>
    <t xml:space="preserve">Taiwan-Centered Identity +3; U.S. Confidence in Taipei -5; +2% Stability</t>
  </si>
  <si>
    <t xml:space="preserve">TAI_su_dpp_status_quo</t>
  </si>
  <si>
    <t xml:space="preserve">Reaffirm the Status Quo</t>
  </si>
  <si>
    <t xml:space="preserve">Name Rectification</t>
  </si>
  <si>
    <t xml:space="preserve">U.S. Confidence in Taipei +10; Strait Tension (CHI) -5; -3% Stability</t>
  </si>
  <si>
    <t xml:space="preserve">TAI_su_dpp_name_rectification</t>
  </si>
  <si>
    <t xml:space="preserve">Taiwan-Centered Identity +10; Strait Tension (CHI) +10; U.S. Confidence in Taipei -10</t>
  </si>
  <si>
    <t xml:space="preserve">TAI_su_dpp_council_ceases</t>
  </si>
  <si>
    <t xml:space="preserve">The Council Ceases to Function</t>
  </si>
  <si>
    <t xml:space="preserve">Pan-Green governing; Strait Tension above 49</t>
  </si>
  <si>
    <t xml:space="preserve">Taiwan-Centered Identity +5; Strait Tension (CHI) +12; U.S. Confidence in Taipei -10</t>
  </si>
  <si>
    <t xml:space="preserve">TAI_su_dpp_un_bid</t>
  </si>
  <si>
    <t xml:space="preserve">Join the UN as Taiwan</t>
  </si>
  <si>
    <t xml:space="preserve">Pan-Green governing; After 2007.1.1</t>
  </si>
  <si>
    <t xml:space="preserve">Taiwan-Centered Identity +10; U.S. Confidence in Taipei -15; Strait Tension (CHI) +10</t>
  </si>
  <si>
    <t xml:space="preserve">TAI_su_dpp_clean_party</t>
  </si>
  <si>
    <t xml:space="preserve">A Clean Green Party</t>
  </si>
  <si>
    <t xml:space="preserve">Corruption -1 level; +2% Stability</t>
  </si>
  <si>
    <t xml:space="preserve">TAI_su_kmt_rebuild</t>
  </si>
  <si>
    <t xml:space="preserve">Rebuild the Kuomintang</t>
  </si>
  <si>
    <t xml:space="preserve">KMT path</t>
  </si>
  <si>
    <t xml:space="preserve">KMT governing</t>
  </si>
  <si>
    <t xml:space="preserve">+3% Stability; +50 Political Power</t>
  </si>
  <si>
    <t xml:space="preserve">TAI_su_kmt_party_assets</t>
  </si>
  <si>
    <t xml:space="preserve">Settle the Party Assets</t>
  </si>
  <si>
    <t xml:space="preserve">Corruption -1 level; +3% Stability</t>
  </si>
  <si>
    <t xml:space="preserve">TAI_su_kmt_technocrats</t>
  </si>
  <si>
    <t xml:space="preserve">A Government of Technocrats</t>
  </si>
  <si>
    <t xml:space="preserve">Reform Capacity +10; Timed spirit TAI_technocratic_cabinet (730 days)</t>
  </si>
  <si>
    <t xml:space="preserve">TAI_su_kmt_pan_blue</t>
  </si>
  <si>
    <t xml:space="preserve">The Pan-Blue Coalition</t>
  </si>
  <si>
    <t xml:space="preserve">Party 1 popularity +2%; Party 14 popularity +1%; +25 Political Power</t>
  </si>
  <si>
    <t xml:space="preserve">TAI_su_kmt_new_taiwanese</t>
  </si>
  <si>
    <t xml:space="preserve">We Are All New Taiwanese</t>
  </si>
  <si>
    <t xml:space="preserve">Taiwan-Centered Identity +4; +3% Stability</t>
  </si>
  <si>
    <t xml:space="preserve">TAI_su_kmt_roc_framework</t>
  </si>
  <si>
    <t xml:space="preserve">Preserve the ROC Framework</t>
  </si>
  <si>
    <t xml:space="preserve">Strait Tension (CHI) -5; Cross-Strait Trust (CHI) +5</t>
  </si>
  <si>
    <t xml:space="preserve">TAI_su_kmt_peace_framework</t>
  </si>
  <si>
    <t xml:space="preserve">Toward a Peace Framework</t>
  </si>
  <si>
    <t xml:space="preserve">Cross-Strait Trust (CHI) +10; Strait Tension (CHI) -5; Mainland Economic Dependence +5</t>
  </si>
  <si>
    <t xml:space="preserve">TAI_su_kmt_consent</t>
  </si>
  <si>
    <t xml:space="preserve">No Unification Without Consent</t>
  </si>
  <si>
    <t xml:space="preserve">Pressure to Negotiate -10; +3% Stability</t>
  </si>
  <si>
    <t xml:space="preserve">TAI_su_kmt_us_ties</t>
  </si>
  <si>
    <t xml:space="preserve">Keep Washington Close</t>
  </si>
  <si>
    <t xml:space="preserve">U.S. Confidence in Taipei +8; U.S. Support for Taiwan (CHI) +3</t>
  </si>
  <si>
    <t xml:space="preserve">TAI_su_pfp_people_first</t>
  </si>
  <si>
    <t xml:space="preserve">The People First Government</t>
  </si>
  <si>
    <t xml:space="preserve">PFP path</t>
  </si>
  <si>
    <t xml:space="preserve">PFP governing</t>
  </si>
  <si>
    <t xml:space="preserve">+75 Political Power; Party 14 popularity +2%</t>
  </si>
  <si>
    <t xml:space="preserve">TAI_su_pfp_provincial_network</t>
  </si>
  <si>
    <t xml:space="preserve">Mobilize the Provincial Network</t>
  </si>
  <si>
    <t xml:space="preserve">National Coordination Capacity +5; Party 14 popularity +2%; +2% Stability</t>
  </si>
  <si>
    <t xml:space="preserve">TAI_su_pfp_court_kmt_caucus</t>
  </si>
  <si>
    <t xml:space="preserve">Court the KMT Caucus</t>
  </si>
  <si>
    <t xml:space="preserve">Party 1 popularity +2%; Party 14 popularity +2%; -2% Stability</t>
  </si>
  <si>
    <t xml:space="preserve">TAI_su_pfp_reunite_blue</t>
  </si>
  <si>
    <t xml:space="preserve">Reunite the Pan-Blue Camp</t>
  </si>
  <si>
    <t xml:space="preserve">Remove spirit TAI_divided_government; +50 Political Power</t>
  </si>
  <si>
    <t xml:space="preserve">TAI_su_pfp_clean_sweep</t>
  </si>
  <si>
    <t xml:space="preserve">The Clean Sweep</t>
  </si>
  <si>
    <t xml:space="preserve">Corruption -1 level; -2% Stability</t>
  </si>
  <si>
    <t xml:space="preserve">TAI_su_pfp_every_township</t>
  </si>
  <si>
    <t xml:space="preserve">Build Every Township</t>
  </si>
  <si>
    <t xml:space="preserve">Build: infrastructure; Build: infrastructure; +2% Stability</t>
  </si>
  <si>
    <t xml:space="preserve">TAI_su_pfp_pragmatic_strait</t>
  </si>
  <si>
    <t xml:space="preserve">A Pragmatic Strait</t>
  </si>
  <si>
    <t xml:space="preserve">Cross-Strait Trust (CHI) +8; Strait Tension (CHI) -5</t>
  </si>
  <si>
    <t xml:space="preserve">TAI_su_pfp_peace_mechanism</t>
  </si>
  <si>
    <t xml:space="preserve">A Cross-Strait Peace Mechanism</t>
  </si>
  <si>
    <t xml:space="preserve">Cross-Strait Trust (CHI) +5; Strait Tension (CHI) -5; Mainland Economic Dependence +5</t>
  </si>
  <si>
    <t xml:space="preserve">TAI_su_pfp_washington</t>
  </si>
  <si>
    <t xml:space="preserve">Reassure Washington</t>
  </si>
  <si>
    <t xml:space="preserve">U.S. Confidence in Taipei +8</t>
  </si>
  <si>
    <t xml:space="preserve">TAI_df_root</t>
  </si>
  <si>
    <t xml:space="preserve">Consolidate the State, Not the Party</t>
  </si>
  <si>
    <t xml:space="preserve">Rule of law</t>
  </si>
  <si>
    <t xml:space="preserve">+3% Stability; National Coordination Capacity +5</t>
  </si>
  <si>
    <t xml:space="preserve">TAI_df_justice_minister</t>
  </si>
  <si>
    <t xml:space="preserve">A Reformist Justice Minister</t>
  </si>
  <si>
    <t xml:space="preserve">Reform Capacity +5; Corruption -1 level</t>
  </si>
  <si>
    <t xml:space="preserve">TAI_df_unshackle_prosecutors</t>
  </si>
  <si>
    <t xml:space="preserve">Unshackle the Prosecutors</t>
  </si>
  <si>
    <t xml:space="preserve">TAI_df_professional_judiciary</t>
  </si>
  <si>
    <t xml:space="preserve">Professionalize the Judiciary</t>
  </si>
  <si>
    <t xml:space="preserve">+3% Stability</t>
  </si>
  <si>
    <t xml:space="preserve">TAI_df_grand_justices</t>
  </si>
  <si>
    <t xml:space="preserve">Strengthen the Grand Justices</t>
  </si>
  <si>
    <t xml:space="preserve">TAI_df_special_division</t>
  </si>
  <si>
    <t xml:space="preserve">A Special Investigation Division</t>
  </si>
  <si>
    <t xml:space="preserve">Trust the Ordinary Prosecutors</t>
  </si>
  <si>
    <t xml:space="preserve">Corruption -1 level; -3% Stability</t>
  </si>
  <si>
    <t xml:space="preserve">TAI_df_ordinary_prosecutors</t>
  </si>
  <si>
    <t xml:space="preserve">+4% Stability</t>
  </si>
  <si>
    <t xml:space="preserve">TAI_df_black_gold</t>
  </si>
  <si>
    <t xml:space="preserve">Clean Up Black Gold</t>
  </si>
  <si>
    <t xml:space="preserve">Clean government</t>
  </si>
  <si>
    <t xml:space="preserve">TAI_df_vote_buying</t>
  </si>
  <si>
    <t xml:space="preserve">End the Vote-Buying Economy</t>
  </si>
  <si>
    <t xml:space="preserve">Corruption -1 level; Party 1 popularity -1%</t>
  </si>
  <si>
    <t xml:space="preserve">TAI_df_sunshine_laws</t>
  </si>
  <si>
    <t xml:space="preserve">Sunshine Laws</t>
  </si>
  <si>
    <t xml:space="preserve">Can pass legislation (LY)</t>
  </si>
  <si>
    <t xml:space="preserve">TAI_df_state_enterprises</t>
  </si>
  <si>
    <t xml:space="preserve">Experts, Not Loyalists</t>
  </si>
  <si>
    <t xml:space="preserve">Timed spirit TAI_professional_state_enterprises (1095 days)</t>
  </si>
  <si>
    <t xml:space="preserve">TAI_df_farmers_associations</t>
  </si>
  <si>
    <t xml:space="preserve">Reform the Farmers' Associations</t>
  </si>
  <si>
    <t xml:space="preserve">TAI_df_special_funds_audit</t>
  </si>
  <si>
    <t xml:space="preserve">Audit the Special Funds</t>
  </si>
  <si>
    <t xml:space="preserve">TAI_df_settle_executive</t>
  </si>
  <si>
    <t xml:space="preserve">Settle the Executive Question</t>
  </si>
  <si>
    <t xml:space="preserve">Institutions</t>
  </si>
  <si>
    <t xml:space="preserve">TAI_df_legislative_reform</t>
  </si>
  <si>
    <t xml:space="preserve">Reform the Legislative Yuan</t>
  </si>
  <si>
    <t xml:space="preserve">TAI_df_end_sntv</t>
  </si>
  <si>
    <t xml:space="preserve">End the SNTV System</t>
  </si>
  <si>
    <t xml:space="preserve">Can pass legislation (LY); After 2004.1.1</t>
  </si>
  <si>
    <t xml:space="preserve">TAI_df_national_assembly</t>
  </si>
  <si>
    <t xml:space="preserve">The National Assembly Votes Itself Out</t>
  </si>
  <si>
    <t xml:space="preserve">After 2005.1.1</t>
  </si>
  <si>
    <t xml:space="preserve">+5% Stability; +50 Political Power</t>
  </si>
  <si>
    <t xml:space="preserve">TAI_df_control_yuan</t>
  </si>
  <si>
    <t xml:space="preserve">Protect the Control Yuan</t>
  </si>
  <si>
    <t xml:space="preserve">Corruption -1 level</t>
  </si>
  <si>
    <t xml:space="preserve">TAI_df_civil_service</t>
  </si>
  <si>
    <t xml:space="preserve">A Neutral Civil Service</t>
  </si>
  <si>
    <t xml:space="preserve">National Coordination Capacity +5; Reform Capacity +5</t>
  </si>
  <si>
    <t xml:space="preserve">TAI_df_local_government</t>
  </si>
  <si>
    <t xml:space="preserve">Empower Local Government</t>
  </si>
  <si>
    <t xml:space="preserve">National Coordination Capacity +5; +2% Stability</t>
  </si>
  <si>
    <t xml:space="preserve">TAI_df_civil_commissions</t>
  </si>
  <si>
    <t xml:space="preserve">Open the Commissions to Civil Society</t>
  </si>
  <si>
    <t xml:space="preserve">Civil society</t>
  </si>
  <si>
    <t xml:space="preserve">TAI_df_party_tv_exit</t>
  </si>
  <si>
    <t xml:space="preserve">Get the Parties Out of Television</t>
  </si>
  <si>
    <t xml:space="preserve">+2% Stability</t>
  </si>
  <si>
    <t xml:space="preserve">TAI_df_public_broadcasting</t>
  </si>
  <si>
    <t xml:space="preserve">Expand Public Broadcasting</t>
  </si>
  <si>
    <t xml:space="preserve">-1bn Treasury; Pressure to Negotiate -3</t>
  </si>
  <si>
    <t xml:space="preserve">TAI_df_every_community</t>
  </si>
  <si>
    <t xml:space="preserve">Voices of Every Community</t>
  </si>
  <si>
    <t xml:space="preserve">Taiwan-Centered Identity +3; +2% Stability</t>
  </si>
  <si>
    <t xml:space="preserve">TAI_df_martial_law_past</t>
  </si>
  <si>
    <t xml:space="preserve">Confront the Martial-Law Past</t>
  </si>
  <si>
    <t xml:space="preserve">+3% Stability; Military Confidence -5</t>
  </si>
  <si>
    <t xml:space="preserve">TAI_df_rapid_facts</t>
  </si>
  <si>
    <t xml:space="preserve">Rapid Factual Communication</t>
  </si>
  <si>
    <t xml:space="preserve">Information resilience</t>
  </si>
  <si>
    <t xml:space="preserve">Pressure to Negotiate -3; +2% Stability</t>
  </si>
  <si>
    <t xml:space="preserve">TAI_df_media_literacy</t>
  </si>
  <si>
    <t xml:space="preserve">Media Literacy for All</t>
  </si>
  <si>
    <t xml:space="preserve">Pressure to Negotiate -5</t>
  </si>
  <si>
    <t xml:space="preserve">TAI_df_influence_transparency</t>
  </si>
  <si>
    <t xml:space="preserve">Foreign Influence Transparency</t>
  </si>
  <si>
    <t xml:space="preserve">Counter-Disinformation Center</t>
  </si>
  <si>
    <t xml:space="preserve">Pressure to Negotiate -5; +2% Stability</t>
  </si>
  <si>
    <t xml:space="preserve">TAI_df_counter_disinfo</t>
  </si>
  <si>
    <t xml:space="preserve">Pressure to Negotiate -8; -2% Stability</t>
  </si>
  <si>
    <t xml:space="preserve">TAI_df_political_dna</t>
  </si>
  <si>
    <t xml:space="preserve">Democracy in the Political DNA</t>
  </si>
  <si>
    <t xml:space="preserve">The National Assembly Votes Itself Out; Audit the Special Funds; Foreign Influence Transparency or Counter-Disinformation Center</t>
  </si>
  <si>
    <t xml:space="preserve">Remove spirit TAI_young_democracy; Add spirit TAI_consolidated_democracy; Pressure to Negotiate -10</t>
  </si>
  <si>
    <t xml:space="preserve">TAI_na_rebuild_shield</t>
  </si>
  <si>
    <t xml:space="preserve">Rebuild the Shield</t>
  </si>
  <si>
    <t xml:space="preserve">Civil-military reform</t>
  </si>
  <si>
    <t xml:space="preserve">+15 Army XP; +25 Political Power</t>
  </si>
  <si>
    <t xml:space="preserve">TAI_na_nationalize</t>
  </si>
  <si>
    <t xml:space="preserve">Nationalize the Armed Forces</t>
  </si>
  <si>
    <t xml:space="preserve">Rebuild the Shield; The Peaceful Transfer of Power</t>
  </si>
  <si>
    <t xml:space="preserve">Party-Army legacy reduced one step; Military Confidence -5; +2% Stability</t>
  </si>
  <si>
    <t xml:space="preserve">TAI_na_defense_act</t>
  </si>
  <si>
    <t xml:space="preserve">Implement the National Defense Act</t>
  </si>
  <si>
    <t xml:space="preserve">Party-Army legacy reduced one step; Military Confidence +10; Reform Capacity +5</t>
  </si>
  <si>
    <t xml:space="preserve">TAI_na_reassure_commanders</t>
  </si>
  <si>
    <t xml:space="preserve">Reassure the Commanders</t>
  </si>
  <si>
    <t xml:space="preserve">Military Confidence +10; Reform Capacity -5</t>
  </si>
  <si>
    <t xml:space="preserve">TAI_na_officer_corps</t>
  </si>
  <si>
    <t xml:space="preserve">Professional Officer Corps</t>
  </si>
  <si>
    <t xml:space="preserve">Timed spirit TAI_professional_officer_corps (1825 days)</t>
  </si>
  <si>
    <t xml:space="preserve">TAI_na_political_warfare</t>
  </si>
  <si>
    <t xml:space="preserve">Reform the Political Warfare Department</t>
  </si>
  <si>
    <t xml:space="preserve">+2% Stability; Military Confidence +5</t>
  </si>
  <si>
    <t xml:space="preserve">TAI_na_joint_command</t>
  </si>
  <si>
    <t xml:space="preserve">Joint Command Reform</t>
  </si>
  <si>
    <t xml:space="preserve">Defense-in-Depth joint penalty removed; +20 Army XP; +10 Navy XP; +10 Air XP</t>
  </si>
  <si>
    <t xml:space="preserve">TAI_na_reassess_did</t>
  </si>
  <si>
    <t xml:space="preserve">Reassess Defense-in-Depth</t>
  </si>
  <si>
    <t xml:space="preserve">Doctrine</t>
  </si>
  <si>
    <t xml:space="preserve">+10 Army XP; +25 Political Power</t>
  </si>
  <si>
    <t xml:space="preserve">TAI_na_missile_crisis_lessons</t>
  </si>
  <si>
    <t xml:space="preserve">Lessons of the Missile Crisis</t>
  </si>
  <si>
    <t xml:space="preserve">Research bonus surface_to_air_missiles 50% x1; Reform Capacity +5</t>
  </si>
  <si>
    <t xml:space="preserve">TAI_na_outside_territory</t>
  </si>
  <si>
    <t xml:space="preserve">Decisive Campaign Outside the Territory</t>
  </si>
  <si>
    <t xml:space="preserve">Posture: Active Defense; Strait Tension (CHI) +4; Military Confidence -5</t>
  </si>
  <si>
    <t xml:space="preserve">TAI_na_effective_deterrence</t>
  </si>
  <si>
    <t xml:space="preserve">Effective Deterrence, Resolute Defense</t>
  </si>
  <si>
    <t xml:space="preserve">+15 Navy XP; +15 Air XP</t>
  </si>
  <si>
    <t xml:space="preserve">TAI_na_air_sea_interdiction</t>
  </si>
  <si>
    <t xml:space="preserve">Air-Sea Interdiction</t>
  </si>
  <si>
    <t xml:space="preserve">Research bonus naval_anti_ship_missiles 50% x2; +15 Navy XP</t>
  </si>
  <si>
    <t xml:space="preserve">TAI_na_hf2e</t>
  </si>
  <si>
    <t xml:space="preserve">The HF-2E Program</t>
  </si>
  <si>
    <t xml:space="preserve">Research bonus cruise_missiles 75% x2; Strait Tension (CHI) +8; U.S. Confidence in Taipei -5</t>
  </si>
  <si>
    <t xml:space="preserve">TAI_na_hf2e_extended</t>
  </si>
  <si>
    <t xml:space="preserve">Extended-Range Countermeasures</t>
  </si>
  <si>
    <t xml:space="preserve">Research bonus ground_launched_cruise_missiles 75% x2; Strait Tension (CHI) +8</t>
  </si>
  <si>
    <t xml:space="preserve">TAI_na_info_warfare</t>
  </si>
  <si>
    <t xml:space="preserve">Information and Electronic Warfare Command</t>
  </si>
  <si>
    <t xml:space="preserve">Research bonus encryption 50% x2; Reform Capacity +5</t>
  </si>
  <si>
    <t xml:space="preserve">TAI_na_layered_air_defense</t>
  </si>
  <si>
    <t xml:space="preserve">Layered Air and Missile Defense</t>
  </si>
  <si>
    <t xml:space="preserve">Research bonus surface_to_air_missiles 75% x2; Build: anti air; Build: radar station</t>
  </si>
  <si>
    <t xml:space="preserve">TAI_na_harden_island</t>
  </si>
  <si>
    <t xml:space="preserve">Harden the Island</t>
  </si>
  <si>
    <t xml:space="preserve">Build: air base; Timed spirit TAI_hardened_shelters (1825 days); +10 Army XP</t>
  </si>
  <si>
    <t xml:space="preserve">TAI_na_repair_runways</t>
  </si>
  <si>
    <t xml:space="preserve">Repair the Runways</t>
  </si>
  <si>
    <t xml:space="preserve">+15 Air XP; Timed spirit TAI_runway_repair_teams (1825 days)</t>
  </si>
  <si>
    <t xml:space="preserve">TAI_na_mine_approaches</t>
  </si>
  <si>
    <t xml:space="preserve">Mine the Approaches</t>
  </si>
  <si>
    <t xml:space="preserve">+15 Navy XP; Timed spirit TAI_mined_approaches (1825 days)</t>
  </si>
  <si>
    <t xml:space="preserve">TAI_na_rapid_redeploy</t>
  </si>
  <si>
    <t xml:space="preserve">Rapid Internal Redeployment</t>
  </si>
  <si>
    <t xml:space="preserve">Build: infrastructure; +10 Army XP</t>
  </si>
  <si>
    <t xml:space="preserve">TAI_na_hard_roc</t>
  </si>
  <si>
    <t xml:space="preserve">Hard ROC</t>
  </si>
  <si>
    <t xml:space="preserve">After 2008.1.1 or KMT governing</t>
  </si>
  <si>
    <t xml:space="preserve">Posture: Hard ROC; Strait Tension (CHI) -3</t>
  </si>
  <si>
    <t xml:space="preserve">TAI_na_mobile_fires</t>
  </si>
  <si>
    <t xml:space="preserve">Mobile Coastal Fires</t>
  </si>
  <si>
    <t xml:space="preserve">Mine the Approaches or Air-Sea Interdiction</t>
  </si>
  <si>
    <t xml:space="preserve">Research bonus naval_anti_ship_missiles 50% x2; +10 Army XP</t>
  </si>
  <si>
    <t xml:space="preserve">TAI_na_disperse</t>
  </si>
  <si>
    <t xml:space="preserve">Disperse and Survive</t>
  </si>
  <si>
    <t xml:space="preserve">Timed spirit TAI_dispersed_forces (1825 days)</t>
  </si>
  <si>
    <t xml:space="preserve">TAI_na_unmanned</t>
  </si>
  <si>
    <t xml:space="preserve">Unmanned Systems</t>
  </si>
  <si>
    <t xml:space="preserve">After 2012.1.1</t>
  </si>
  <si>
    <t xml:space="preserve">Research bonus air_drones 75% x2; Research bonus land_drones 50% x1</t>
  </si>
  <si>
    <t xml:space="preserve">TAI_na_odc</t>
  </si>
  <si>
    <t xml:space="preserve">Overall Defense Concept</t>
  </si>
  <si>
    <t xml:space="preserve">After 2017.1.1</t>
  </si>
  <si>
    <t xml:space="preserve">Posture: Asymmetric; U.S. Confidence in Taipei +5</t>
  </si>
  <si>
    <t xml:space="preserve">TAI_na_hybrid</t>
  </si>
  <si>
    <t xml:space="preserve">Hybrid Resilience</t>
  </si>
  <si>
    <t xml:space="preserve">Air-Sea Interdiction or Hard ROC or Overall Defense Concept; Joint Command Reform</t>
  </si>
  <si>
    <t xml:space="preserve">Posture: Hybrid; +15 Army XP</t>
  </si>
  <si>
    <t xml:space="preserve">TAI_na_whole_of_society</t>
  </si>
  <si>
    <t xml:space="preserve">Whole-of-Society Defense</t>
  </si>
  <si>
    <t xml:space="preserve">Hybrid Resilience; Territorial Defense Brigades</t>
  </si>
  <si>
    <t xml:space="preserve">Add spirit TAI_whole_of_society_defense; +5% War Support</t>
  </si>
  <si>
    <t xml:space="preserve">TAI_na_fortress_taiwan</t>
  </si>
  <si>
    <t xml:space="preserve">Fortress Taiwan</t>
  </si>
  <si>
    <t xml:space="preserve">Add spirit TAI_fortress_taiwan; Strait Tension (CHI) +5</t>
  </si>
  <si>
    <t xml:space="preserve">TAI_na_manpower_question</t>
  </si>
  <si>
    <t xml:space="preserve">The Manpower Question</t>
  </si>
  <si>
    <t xml:space="preserve">Manpower</t>
  </si>
  <si>
    <t xml:space="preserve">+25 Political Power</t>
  </si>
  <si>
    <t xml:space="preserve">TAI_na_volunteer_reserve_split</t>
  </si>
  <si>
    <t xml:space="preserve">Volunteer / Reserve Split</t>
  </si>
  <si>
    <t xml:space="preserve">Retain Extended Conscription; Professional First-Line Force</t>
  </si>
  <si>
    <t xml:space="preserve">Add spirit TAI_volunteer_reserve_split</t>
  </si>
  <si>
    <t xml:space="preserve">TAI_na_professional_force</t>
  </si>
  <si>
    <t xml:space="preserve">Professional First-Line Force</t>
  </si>
  <si>
    <t xml:space="preserve">Retain Extended Conscription; Volunteer / Reserve Split</t>
  </si>
  <si>
    <t xml:space="preserve">Add spirit TAI_professional_force</t>
  </si>
  <si>
    <t xml:space="preserve">TAI_na_extended_conscription</t>
  </si>
  <si>
    <t xml:space="preserve">Retain Extended Conscription</t>
  </si>
  <si>
    <t xml:space="preserve">Professional First-Line Force; Volunteer / Reserve Split</t>
  </si>
  <si>
    <t xml:space="preserve">Add spirit TAI_extended_conscription</t>
  </si>
  <si>
    <t xml:space="preserve">TAI_na_reserve_audit</t>
  </si>
  <si>
    <t xml:space="preserve">Reserve Readiness Audit</t>
  </si>
  <si>
    <t xml:space="preserve">Volunteer / Reserve Split or Professional First-Line Force or Retain Extended Conscription</t>
  </si>
  <si>
    <t xml:space="preserve">+10 Army XP; Reform Capacity +5</t>
  </si>
  <si>
    <t xml:space="preserve">TAI_na_reserve_reform</t>
  </si>
  <si>
    <t xml:space="preserve">Reserve Reform</t>
  </si>
  <si>
    <t xml:space="preserve">Remove spirit TAI_uneven_reserves; -2bn Treasury</t>
  </si>
  <si>
    <t xml:space="preserve">TAI_na_nco_initiative</t>
  </si>
  <si>
    <t xml:space="preserve">NCO and Junior Leader Initiative</t>
  </si>
  <si>
    <t xml:space="preserve">Timed spirit TAI_junior_leader_initiative (1825 days)</t>
  </si>
  <si>
    <t xml:space="preserve">TAI_na_territorial_defense</t>
  </si>
  <si>
    <t xml:space="preserve">Territorial Defense Brigades</t>
  </si>
  <si>
    <t xml:space="preserve">+20 Army XP; +3% War Support</t>
  </si>
  <si>
    <t xml:space="preserve">TAI_na_us_links</t>
  </si>
  <si>
    <t xml:space="preserve">Secure U.S. Defense Links</t>
  </si>
  <si>
    <t xml:space="preserve">Procurement</t>
  </si>
  <si>
    <t xml:space="preserve">U.S. Support for Taiwan (CHI) +3; U.S. Confidence in Taipei +3</t>
  </si>
  <si>
    <t xml:space="preserve">TAI_na_2001_package</t>
  </si>
  <si>
    <t xml:space="preserve">The 2001 Arms Package</t>
  </si>
  <si>
    <t xml:space="preserve">After 2001.4.1</t>
  </si>
  <si>
    <t xml:space="preserve">Strait Tension (CHI) +5; +25 Political Power</t>
  </si>
  <si>
    <t xml:space="preserve">TAI_na_special_budget</t>
  </si>
  <si>
    <t xml:space="preserve">Special Defense Budget</t>
  </si>
  <si>
    <t xml:space="preserve">-5bn Treasury; U.S. Confidence in Taipei +5</t>
  </si>
  <si>
    <t xml:space="preserve">TAI_na_kidd_destroyers</t>
  </si>
  <si>
    <t xml:space="preserve">Accept the Kidd-Class Destroyers</t>
  </si>
  <si>
    <t xml:space="preserve">Research bonus destroyers 50% x2; +20 Navy XP; -3bn Treasury</t>
  </si>
  <si>
    <t xml:space="preserve">TAI_na_maritime_patrol</t>
  </si>
  <si>
    <t xml:space="preserve">Maritime Patrol Aircraft</t>
  </si>
  <si>
    <t xml:space="preserve">Research bonus heavy_aircraft 50% x1; +15 Air XP</t>
  </si>
  <si>
    <t xml:space="preserve">TAI_na_submarine_question</t>
  </si>
  <si>
    <t xml:space="preserve">The Submarine Question</t>
  </si>
  <si>
    <t xml:space="preserve">Research bonus submarines 50% x1</t>
  </si>
  <si>
    <t xml:space="preserve">TAI_na_indigenous_submarine</t>
  </si>
  <si>
    <t xml:space="preserve">Indigenous Submarine Program</t>
  </si>
  <si>
    <t xml:space="preserve">The Submarine Question; Empower the Chungshan Institute</t>
  </si>
  <si>
    <t xml:space="preserve">After 2010.1.1</t>
  </si>
  <si>
    <t xml:space="preserve">Research bonus submarines 100% x2; Build: dockyard</t>
  </si>
  <si>
    <t xml:space="preserve">TAI_na_interoperability</t>
  </si>
  <si>
    <t xml:space="preserve">Interoperability Without Alliance</t>
  </si>
  <si>
    <t xml:space="preserve">Reform Capacity +5; +10 Army XP; +10 Air XP</t>
  </si>
  <si>
    <t xml:space="preserve">TAI_na_absorption</t>
  </si>
  <si>
    <t xml:space="preserve">Solve the Absorption Problem</t>
  </si>
  <si>
    <t xml:space="preserve">Remove spirit TAI_limited_absorption; Reform Capacity +10</t>
  </si>
  <si>
    <t xml:space="preserve">TAI_na_fighter_fleet</t>
  </si>
  <si>
    <t xml:space="preserve">Sustain the Fighter Fleet</t>
  </si>
  <si>
    <t xml:space="preserve">Research bonus aircraft 50% x2; +20 Air XP</t>
  </si>
  <si>
    <t xml:space="preserve">TAI_na_idf_upgrade</t>
  </si>
  <si>
    <t xml:space="preserve">Upgrade the Indigenous Fighter</t>
  </si>
  <si>
    <t xml:space="preserve">Sustain the Fighter Fleet; Empower the Chungshan Institute</t>
  </si>
  <si>
    <t xml:space="preserve">Research bonus light_aircraft 75% x2; Build: arms factory</t>
  </si>
  <si>
    <t xml:space="preserve">TAI_na_csist</t>
  </si>
  <si>
    <t xml:space="preserve">Empower the Chungshan Institute</t>
  </si>
  <si>
    <t xml:space="preserve">Research bonus missiles 50% x2; -2bn Treasury</t>
  </si>
  <si>
    <t xml:space="preserve">TAI_na_gray_zone</t>
  </si>
  <si>
    <t xml:space="preserve">Contest the Gray Zone</t>
  </si>
  <si>
    <t xml:space="preserve">+10 Navy XP; +10 Air XP; Pressure to Negotiate -3</t>
  </si>
  <si>
    <t xml:space="preserve">TAI_na_service_rivalry</t>
  </si>
  <si>
    <t xml:space="preserve">End the Service Rivalry</t>
  </si>
  <si>
    <t xml:space="preserve">Joint Command Reform; Special Defense Budget</t>
  </si>
  <si>
    <t xml:space="preserve">Reform Capacity +10; +50 Political Power</t>
  </si>
  <si>
    <t xml:space="preserve">TAI_ss_root</t>
  </si>
  <si>
    <t xml:space="preserve">Semiconductors</t>
  </si>
  <si>
    <t xml:space="preserve">Research bonus microchips 50% x1; +25 Political Power</t>
  </si>
  <si>
    <t xml:space="preserve">TAI_ss_deepen_hsinchu</t>
  </si>
  <si>
    <t xml:space="preserve">Deepen Hsinchu Science Park</t>
  </si>
  <si>
    <t xml:space="preserve">Build: industrial complex; Research bonus microchips 50% x1</t>
  </si>
  <si>
    <t xml:space="preserve">TAI_ss_southern_park</t>
  </si>
  <si>
    <t xml:space="preserve">Expand the Southern Science Park</t>
  </si>
  <si>
    <t xml:space="preserve">Build: industrial complex; +2% Stability</t>
  </si>
  <si>
    <t xml:space="preserve">TAI_ss_central_park</t>
  </si>
  <si>
    <t xml:space="preserve">Found the Central Taiwan Science Park</t>
  </si>
  <si>
    <t xml:space="preserve">After 2003.1.1</t>
  </si>
  <si>
    <t xml:space="preserve">Build: industrial complex; Build: industrial complex</t>
  </si>
  <si>
    <t xml:space="preserve">TAI_ss_twelve_inch</t>
  </si>
  <si>
    <t xml:space="preserve">The 12-Inch Transition</t>
  </si>
  <si>
    <t xml:space="preserve">Research bonus microchips 75% x2; Semiconductor Supply Security +5</t>
  </si>
  <si>
    <t xml:space="preserve">TAI_ss_advanced_process</t>
  </si>
  <si>
    <t xml:space="preserve">Advanced Process R&amp;D</t>
  </si>
  <si>
    <t xml:space="preserve">Research bonus microchips 100% x2; Semiconductor Supply Security +5</t>
  </si>
  <si>
    <t xml:space="preserve">TAI_ss_fabless</t>
  </si>
  <si>
    <t xml:space="preserve">Strengthen Fabless Partnerships</t>
  </si>
  <si>
    <t xml:space="preserve">U.S. Support for Taiwan (CHI) +2; Opinion: USA</t>
  </si>
  <si>
    <t xml:space="preserve">TAI_ss_itri</t>
  </si>
  <si>
    <t xml:space="preserve">Reinvest in ITRI</t>
  </si>
  <si>
    <t xml:space="preserve">Research bonus information_technology 50% x2; Research bonus robotics 50% x1</t>
  </si>
  <si>
    <t xml:space="preserve">TAI_ss_crown_jewels</t>
  </si>
  <si>
    <t xml:space="preserve">Protect the Crown Jewels</t>
  </si>
  <si>
    <t xml:space="preserve">Semiconductor Supply Security +5; +25 Political Power</t>
  </si>
  <si>
    <t xml:space="preserve">TAI_ss_supply_chain</t>
  </si>
  <si>
    <t xml:space="preserve">Protect Critical Supply Chains</t>
  </si>
  <si>
    <t xml:space="preserve">Semiconductor Supply Security +10</t>
  </si>
  <si>
    <t xml:space="preserve">TAI_ss_materials_inventory</t>
  </si>
  <si>
    <t xml:space="preserve">Strategic Materials Inventory</t>
  </si>
  <si>
    <t xml:space="preserve">Semiconductor Supply Security +10; -2bn Treasury</t>
  </si>
  <si>
    <t xml:space="preserve">TAI_ss_us_compact</t>
  </si>
  <si>
    <t xml:space="preserve">U.S.-Taiwan Semiconductor Compact</t>
  </si>
  <si>
    <t xml:space="preserve">Protect Critical Supply Chains; Consult Washington</t>
  </si>
  <si>
    <t xml:space="preserve">U.S. Support for Taiwan (CHI) +5; U.S. Confidence in Taipei +5; Semiconductor Supply Security +5; +5bn Treasury</t>
  </si>
  <si>
    <t xml:space="preserve">Alternate history</t>
  </si>
  <si>
    <t xml:space="preserve">TAI_ss_court_berlin</t>
  </si>
  <si>
    <t xml:space="preserve">Court Berlin</t>
  </si>
  <si>
    <t xml:space="preserve">Semiconductor Supply Security +5; Opinion: GER</t>
  </si>
  <si>
    <t xml:space="preserve">TAI_ss_dutch_litho</t>
  </si>
  <si>
    <t xml:space="preserve">Dutch Lithography Partnership</t>
  </si>
  <si>
    <t xml:space="preserve">Semiconductor Supply Security +10; Opinion: HOL</t>
  </si>
  <si>
    <t xml:space="preserve">TAI_ss_japan_materials</t>
  </si>
  <si>
    <t xml:space="preserve">Japanese Materials Alliance</t>
  </si>
  <si>
    <t xml:space="preserve">Protect Critical Supply Chains; Consult Tokyo: The Geographic Anchor</t>
  </si>
  <si>
    <t xml:space="preserve">TAI_ss_silicon_shield</t>
  </si>
  <si>
    <t xml:space="preserve">The Silicon Shield</t>
  </si>
  <si>
    <t xml:space="preserve">U.S.-Taiwan Semiconductor Compact; Dutch Lithography Partnership or Japanese Materials Alliance</t>
  </si>
  <si>
    <t xml:space="preserve">Add spirit TAI_silicon_shield; U.S. Support for Taiwan (CHI) +5</t>
  </si>
  <si>
    <t xml:space="preserve">TAI_ss_trading_economy</t>
  </si>
  <si>
    <t xml:space="preserve">The Island Trading Economy</t>
  </si>
  <si>
    <t xml:space="preserve">Island economy</t>
  </si>
  <si>
    <t xml:space="preserve">+25 Political Power; +2% Stability</t>
  </si>
  <si>
    <t xml:space="preserve">TAI_ss_bad_loans</t>
  </si>
  <si>
    <t xml:space="preserve">Clear the Bad Loans</t>
  </si>
  <si>
    <t xml:space="preserve">-3bn Treasury; Timed spirit TAI_financial_reform (1095 days)</t>
  </si>
  <si>
    <t xml:space="preserve">TAI_ss_bank_consolidation</t>
  </si>
  <si>
    <t xml:space="preserve">Consolidate the Banks</t>
  </si>
  <si>
    <t xml:space="preserve">After 2004.1.1</t>
  </si>
  <si>
    <t xml:space="preserve">+2% Stability; +25 Political Power</t>
  </si>
  <si>
    <t xml:space="preserve">TAI_ss_challenge_2008</t>
  </si>
  <si>
    <t xml:space="preserve">Challenge 2008</t>
  </si>
  <si>
    <t xml:space="preserve">After 2002.1.1</t>
  </si>
  <si>
    <t xml:space="preserve">Research bonus construction 50% x2; +25 Political Power</t>
  </si>
  <si>
    <t xml:space="preserve">TAI_ss_ten_projects</t>
  </si>
  <si>
    <t xml:space="preserve">Ten New Major Construction Projects</t>
  </si>
  <si>
    <t xml:space="preserve">Build: industrial complex; Build: infrastructure</t>
  </si>
  <si>
    <t xml:space="preserve">TAI_ss_high_speed_rail</t>
  </si>
  <si>
    <t xml:space="preserve">Finish the High-Speed Rail</t>
  </si>
  <si>
    <t xml:space="preserve">After 2006.6.1</t>
  </si>
  <si>
    <t xml:space="preserve">TAI_ss_e_taiwan</t>
  </si>
  <si>
    <t xml:space="preserve">e-Taiwan</t>
  </si>
  <si>
    <t xml:space="preserve">Research bonus internet 50% x2; Build: network infrastructure</t>
  </si>
  <si>
    <t xml:space="preserve">TAI_ss_biotech</t>
  </si>
  <si>
    <t xml:space="preserve">Biotech Takeoff</t>
  </si>
  <si>
    <t xml:space="preserve">Research bonus genetics 50% x2</t>
  </si>
  <si>
    <t xml:space="preserve">TAI_ss_services</t>
  </si>
  <si>
    <t xml:space="preserve">Services and Tourism</t>
  </si>
  <si>
    <t xml:space="preserve">Mainland Economic Dependence -3; Timed spirit TAI_service_economy (1095 days)</t>
  </si>
  <si>
    <t xml:space="preserve">TAI_ss_export_markets</t>
  </si>
  <si>
    <t xml:space="preserve">Diversify Export Markets</t>
  </si>
  <si>
    <t xml:space="preserve">Mainland Economic Dependence -5; Opinion: VIE</t>
  </si>
  <si>
    <t xml:space="preserve">TAI_ss_fx_facility</t>
  </si>
  <si>
    <t xml:space="preserve">A Defined Reserve Facility</t>
  </si>
  <si>
    <t xml:space="preserve">+25 Political Power; Pressure to Negotiate -3</t>
  </si>
  <si>
    <t xml:space="preserve">TAI_ss_marine_insurance</t>
  </si>
  <si>
    <t xml:space="preserve">National Marine Insurance Pool</t>
  </si>
  <si>
    <t xml:space="preserve">TAI_ss_energy_review</t>
  </si>
  <si>
    <t xml:space="preserve">Energy Security Review</t>
  </si>
  <si>
    <t xml:space="preserve">Energy and food</t>
  </si>
  <si>
    <t xml:space="preserve">TAI_ss_spr</t>
  </si>
  <si>
    <t xml:space="preserve">Strategic Petroleum Reserve</t>
  </si>
  <si>
    <t xml:space="preserve">-3bn Treasury; Timed spirit TAI_strategic_fuel_reserve (3650 days)</t>
  </si>
  <si>
    <t xml:space="preserve">TAI_ss_lng</t>
  </si>
  <si>
    <t xml:space="preserve">Expand the LNG Terminals</t>
  </si>
  <si>
    <t xml:space="preserve">Build: infrastructure; Research bonus fuel_refining 50% x1</t>
  </si>
  <si>
    <t xml:space="preserve">TAI_ss_coal_stocks</t>
  </si>
  <si>
    <t xml:space="preserve">Coal Stockpiles for the Grid</t>
  </si>
  <si>
    <t xml:space="preserve">Pressure to Negotiate -2; -1bn Treasury</t>
  </si>
  <si>
    <t xml:space="preserve">TAI_ss_renewables</t>
  </si>
  <si>
    <t xml:space="preserve">Renewable Energy Act</t>
  </si>
  <si>
    <t xml:space="preserve">After 2009.1.1</t>
  </si>
  <si>
    <t xml:space="preserve">Research bonus renewable_energy 75% x2</t>
  </si>
  <si>
    <t xml:space="preserve">TAI_ss_food_reserve</t>
  </si>
  <si>
    <t xml:space="preserve">National Food Reserve</t>
  </si>
  <si>
    <t xml:space="preserve">TAI_ss_wto_farmers</t>
  </si>
  <si>
    <t xml:space="preserve">Protect Farmers After the WTO</t>
  </si>
  <si>
    <t xml:space="preserve">National Food Reserve; Complete WTO Accession</t>
  </si>
  <si>
    <t xml:space="preserve">-1bn Treasury; +3% Stability</t>
  </si>
  <si>
    <t xml:space="preserve">TAI_ss_emergency_shipping</t>
  </si>
  <si>
    <t xml:space="preserve">Emergency Shipping Arrangements</t>
  </si>
  <si>
    <t xml:space="preserve">Pressure to Negotiate -3</t>
  </si>
  <si>
    <t xml:space="preserve">TAI_ss_endurance_target</t>
  </si>
  <si>
    <t xml:space="preserve">A National Endurance Target</t>
  </si>
  <si>
    <t xml:space="preserve">Strategic Petroleum Reserve; National Food Reserve; Strategic Materials Inventory</t>
  </si>
  <si>
    <t xml:space="preserve">Add spirit TAI_strategic_reserves; Pressure to Negotiate -5</t>
  </si>
  <si>
    <t xml:space="preserve">TAI_as_root</t>
  </si>
  <si>
    <t xml:space="preserve">Economic links</t>
  </si>
  <si>
    <t xml:space="preserve">TAI_as_go_slow</t>
  </si>
  <si>
    <t xml:space="preserve">No Haste, Be Patient</t>
  </si>
  <si>
    <t xml:space="preserve">Active Opening, Effective Management</t>
  </si>
  <si>
    <t xml:space="preserve">Add spirit TAI_no_haste; Mainland Economic Dependence -5</t>
  </si>
  <si>
    <t xml:space="preserve">TAI_as_active_opening</t>
  </si>
  <si>
    <t xml:space="preserve">Add spirit TAI_active_opening; Mainland Economic Dependence +8; Cross-Strait Trust (CHI) +3</t>
  </si>
  <si>
    <t xml:space="preserve">TAI_as_mini_three_links</t>
  </si>
  <si>
    <t xml:space="preserve">The Mini Three Links</t>
  </si>
  <si>
    <t xml:space="preserve">Cross-Strait Trust (CHI) +3; Mainland Economic Dependence +3; Strait Tension (CHI) -2</t>
  </si>
  <si>
    <t xml:space="preserve">TAI_as_taishang</t>
  </si>
  <si>
    <t xml:space="preserve">The Taishang Question</t>
  </si>
  <si>
    <t xml:space="preserve">No Haste, Be Patient or Active Opening, Effective Management</t>
  </si>
  <si>
    <t xml:space="preserve">Mainland Economic Dependence +3; +25 Political Power</t>
  </si>
  <si>
    <t xml:space="preserve">TAI_as_charter_flights</t>
  </si>
  <si>
    <t xml:space="preserve">Holiday Charter Flights</t>
  </si>
  <si>
    <t xml:space="preserve">Cross-Strait Trust (CHI) +3; Mainland Economic Dependence +2</t>
  </si>
  <si>
    <t xml:space="preserve">TAI_as_investment_caps</t>
  </si>
  <si>
    <t xml:space="preserve">Sector Investment Caps</t>
  </si>
  <si>
    <t xml:space="preserve">Mainland Economic Dependence -5; Pressure to Negotiate -3</t>
  </si>
  <si>
    <t xml:space="preserve">TAI_as_exposure_monitor</t>
  </si>
  <si>
    <t xml:space="preserve">Monitor Mainland Exposure</t>
  </si>
  <si>
    <t xml:space="preserve">Pressure to Negotiate -3; National Coordination Capacity +3</t>
  </si>
  <si>
    <t xml:space="preserve">TAI_as_tighten_management</t>
  </si>
  <si>
    <t xml:space="preserve">Active Management, Effective Opening</t>
  </si>
  <si>
    <t xml:space="preserve">After 2006.1.1</t>
  </si>
  <si>
    <t xml:space="preserve">Mainland Economic Dependence -5; Cross-Strait Trust (CHI) -3</t>
  </si>
  <si>
    <t xml:space="preserve">TAI_as_go_south</t>
  </si>
  <si>
    <t xml:space="preserve">Go South</t>
  </si>
  <si>
    <t xml:space="preserve">Mainland Economic Dependence -5; Opinion: VIE; Opinion: PHI</t>
  </si>
  <si>
    <t xml:space="preserve">TAI_as_three_links</t>
  </si>
  <si>
    <t xml:space="preserve">The Full Three Links</t>
  </si>
  <si>
    <t xml:space="preserve">Pan-Blue governing or After 2008.6.1</t>
  </si>
  <si>
    <t xml:space="preserve">Cross-Strait Trust (CHI) +8; Mainland Economic Dependence +10; Timed spirit TAI_direct_links (1825 days)</t>
  </si>
  <si>
    <t xml:space="preserve">TAI_as_mainland_tourists</t>
  </si>
  <si>
    <t xml:space="preserve">Mainland Tourists</t>
  </si>
  <si>
    <t xml:space="preserve">Mainland Economic Dependence +5; Cross-Strait Trust (CHI) +3</t>
  </si>
  <si>
    <t xml:space="preserve">TAI_as_economic_framework</t>
  </si>
  <si>
    <t xml:space="preserve">A Cross-Strait Economic Framework</t>
  </si>
  <si>
    <t xml:space="preserve">After 2009.1.1 or KMT governing after 2006</t>
  </si>
  <si>
    <t xml:space="preserve">Mainland Economic Dependence +12; Cross-Strait Trust (CHI) +10; Timed spirit TAI_cross_strait_framework (3650 days)</t>
  </si>
  <si>
    <t xml:space="preserve">TAI_as_restore_1992_spirit</t>
  </si>
  <si>
    <t xml:space="preserve">Restore the Spirit of the 1992 Talks</t>
  </si>
  <si>
    <t xml:space="preserve">Political channel</t>
  </si>
  <si>
    <t xml:space="preserve">Uphold the 1992 Consensus</t>
  </si>
  <si>
    <t xml:space="preserve">Cross-Strait Trust (CHI) +5; Strait Tension (CHI) -3</t>
  </si>
  <si>
    <t xml:space="preserve">TAI_as_uphold_1992</t>
  </si>
  <si>
    <t xml:space="preserve">Pan-Blue governing</t>
  </si>
  <si>
    <t xml:space="preserve">Cross-Strait Trust (CHI) +12; Strait Tension (CHI) -5; Taiwan-Centered Identity -3</t>
  </si>
  <si>
    <t xml:space="preserve">TAI_as_sef_arats</t>
  </si>
  <si>
    <t xml:space="preserve">Revive the SEF-ARATS Channel</t>
  </si>
  <si>
    <t xml:space="preserve">Restore the Spirit of the 1992 Talks or Uphold the 1992 Consensus</t>
  </si>
  <si>
    <t xml:space="preserve">Cross-Strait Trust above 19</t>
  </si>
  <si>
    <t xml:space="preserve">TAI_as_crisis_channel</t>
  </si>
  <si>
    <t xml:space="preserve">A Cross-Strait Crisis Channel</t>
  </si>
  <si>
    <t xml:space="preserve">Strait Tension (CHI) -8</t>
  </si>
  <si>
    <t xml:space="preserve">TAI_as_stabilization</t>
  </si>
  <si>
    <t xml:space="preserve">The Strait Stabilization Initiative</t>
  </si>
  <si>
    <t xml:space="preserve">Strait Tension (CHI) -10; Cross-Strait Trust (CHI) +5; U.S. Confidence in Taipei +5</t>
  </si>
  <si>
    <t xml:space="preserve">TAI_as_structured_restraint</t>
  </si>
  <si>
    <t xml:space="preserve">Structured Restraint</t>
  </si>
  <si>
    <t xml:space="preserve">U.S. Support for Taiwan (CHI) +5; U.S. Confidence in Taipei +5</t>
  </si>
  <si>
    <t xml:space="preserve">TAI_as_cbms</t>
  </si>
  <si>
    <t xml:space="preserve">Military Confidence-Building Measures</t>
  </si>
  <si>
    <t xml:space="preserve">Strait Tension (CHI) -8; Military Confidence -3</t>
  </si>
  <si>
    <t xml:space="preserve">TAI_as_one_country_each_side</t>
  </si>
  <si>
    <t xml:space="preserve">One Country on Each Side</t>
  </si>
  <si>
    <t xml:space="preserve">Pan-Green governing; After 2002.8.1</t>
  </si>
  <si>
    <t xml:space="preserve">Taiwan-Centered Identity +5; Strait Tension (CHI) +10; U.S. Confidence in Taipei -5</t>
  </si>
  <si>
    <t xml:space="preserve">TAI_as_journey_of_peace</t>
  </si>
  <si>
    <t xml:space="preserve">The Journey of Peace</t>
  </si>
  <si>
    <t xml:space="preserve">Cross-Strait Trust (CHI) +10; Strait Tension (CHI) -5</t>
  </si>
  <si>
    <t xml:space="preserve">TAI_as_red_lines</t>
  </si>
  <si>
    <t xml:space="preserve">Know Beijing's Red Lines</t>
  </si>
  <si>
    <t xml:space="preserve">+25 Political Power; National Coordination Capacity +3</t>
  </si>
  <si>
    <t xml:space="preserve">TAI_as_anti_secession</t>
  </si>
  <si>
    <t xml:space="preserve">Answer the Anti-Secession Law</t>
  </si>
  <si>
    <t xml:space="preserve">After 2005.3.14</t>
  </si>
  <si>
    <t xml:space="preserve">Taiwan-Centered Identity +3; U.S. Support for Taiwan (CHI) +3; +2% Stability</t>
  </si>
  <si>
    <t xml:space="preserve">TAI_as_assent</t>
  </si>
  <si>
    <t xml:space="preserve">The Assent of the People of Taiwan</t>
  </si>
  <si>
    <t xml:space="preserve">Pressure to Negotiate -10; +2% Stability</t>
  </si>
  <si>
    <t xml:space="preserve">TAI_as_peace_accord</t>
  </si>
  <si>
    <t xml:space="preserve">A Cross-Strait Peace Accord?</t>
  </si>
  <si>
    <t xml:space="preserve">The Journey of Peace; The Assent of the People of Taiwan</t>
  </si>
  <si>
    <t xml:space="preserve">Cross-Strait Trust (CHI) +10; Strait Tension (CHI) -10; Mainland Economic Dependence +3</t>
  </si>
  <si>
    <t xml:space="preserve">TAI_as_status_quo_dividend</t>
  </si>
  <si>
    <t xml:space="preserve">The Status Quo Dividend</t>
  </si>
  <si>
    <t xml:space="preserve">Timed spirit TAI_status_quo_dividend (1095 days)</t>
  </si>
  <si>
    <t xml:space="preserve">TAI_as_managed_ambiguity</t>
  </si>
  <si>
    <t xml:space="preserve">Managed Ambiguity</t>
  </si>
  <si>
    <t xml:space="preserve">The Assent of the People of Taiwan; Structured Restraint or A Cross-Strait Peace Accord?</t>
  </si>
  <si>
    <t xml:space="preserve">Add spirit TAI_managed_ambiguity; U.S. Confidence in Taipei +5</t>
  </si>
  <si>
    <t xml:space="preserve">TAI_as_offshore_line</t>
  </si>
  <si>
    <t xml:space="preserve">Kinmen and Matsu Safety Line</t>
  </si>
  <si>
    <t xml:space="preserve">Strait Tension (CHI) -3; +1% Stability</t>
  </si>
  <si>
    <t xml:space="preserve">TAI_pl_root</t>
  </si>
  <si>
    <t xml:space="preserve">United States</t>
  </si>
  <si>
    <t xml:space="preserve">TAI_pl_washington</t>
  </si>
  <si>
    <t xml:space="preserve">Consult Washington</t>
  </si>
  <si>
    <t xml:space="preserve">U.S. Confidence in Taipei +5</t>
  </si>
  <si>
    <t xml:space="preserve">TAI_pl_no_surprises</t>
  </si>
  <si>
    <t xml:space="preserve">No Surprises</t>
  </si>
  <si>
    <t xml:space="preserve">U.S. Confidence in Taipei +10</t>
  </si>
  <si>
    <t xml:space="preserve">TAI_pl_capitol_hill</t>
  </si>
  <si>
    <t xml:space="preserve">Friends on Capitol Hill</t>
  </si>
  <si>
    <t xml:space="preserve">U.S. Support for Taiwan (CHI) +4</t>
  </si>
  <si>
    <t xml:space="preserve">TAI_pl_transit</t>
  </si>
  <si>
    <t xml:space="preserve">Transit Diplomacy</t>
  </si>
  <si>
    <t xml:space="preserve">Taiwan-Centered Identity +3; U.S. Support for Taiwan (CHI) +2; Strait Tension (CHI) +3</t>
  </si>
  <si>
    <t xml:space="preserve">TAI_pl_tifa</t>
  </si>
  <si>
    <t xml:space="preserve">Revive the TIFA Talks</t>
  </si>
  <si>
    <t xml:space="preserve">Opinion: USA; U.S. Confidence in Taipei +3</t>
  </si>
  <si>
    <t xml:space="preserve">TAI_pl_us_crisis_comms</t>
  </si>
  <si>
    <t xml:space="preserve">Crisis Communication with Washington</t>
  </si>
  <si>
    <t xml:space="preserve">U.S. Support for Taiwan (CHI) +3; U.S. Confidence in Taipei +5</t>
  </si>
  <si>
    <t xml:space="preserve">TAI_pl_us_credit</t>
  </si>
  <si>
    <t xml:space="preserve">Pre-Arranged U.S. Credit Facility</t>
  </si>
  <si>
    <t xml:space="preserve">TAI_pl_tokyo</t>
  </si>
  <si>
    <t xml:space="preserve">Consult Tokyo: The Geographic Anchor</t>
  </si>
  <si>
    <t xml:space="preserve">Japan</t>
  </si>
  <si>
    <t xml:space="preserve">Opinion: JAP</t>
  </si>
  <si>
    <t xml:space="preserve">TAI_pl_japan_visa</t>
  </si>
  <si>
    <t xml:space="preserve">Visa-Free Japan</t>
  </si>
  <si>
    <t xml:space="preserve">+2% Stability; Opinion: JAP</t>
  </si>
  <si>
    <t xml:space="preserve">TAI_pl_japan_coast_guard</t>
  </si>
  <si>
    <t xml:space="preserve">Coast Guard Talks with Japan</t>
  </si>
  <si>
    <t xml:space="preserve">Consult Tokyo: The Geographic Anchor; Contest the Gray Zone</t>
  </si>
  <si>
    <t xml:space="preserve">+10 Navy XP; Pressure to Negotiate -2</t>
  </si>
  <si>
    <t xml:space="preserve">TAI_pl_japan_dialogue</t>
  </si>
  <si>
    <t xml:space="preserve">Unofficial Security Dialogue with Japan</t>
  </si>
  <si>
    <t xml:space="preserve">U.S. Support for Taiwan (CHI) +2; Strait Tension (CHI) +2</t>
  </si>
  <si>
    <t xml:space="preserve">TAI_pl_japan_credit</t>
  </si>
  <si>
    <t xml:space="preserve">Japanese Credit Guarantees</t>
  </si>
  <si>
    <t xml:space="preserve">TAI_pl_europe</t>
  </si>
  <si>
    <t xml:space="preserve">Europe's Commercial Stake</t>
  </si>
  <si>
    <t xml:space="preserve">Europe</t>
  </si>
  <si>
    <t xml:space="preserve">TAI_pl_eu_trade</t>
  </si>
  <si>
    <t xml:space="preserve">EU Trade and Investment Talks</t>
  </si>
  <si>
    <t xml:space="preserve">Mainland Economic Dependence -3; Opinion: GER</t>
  </si>
  <si>
    <t xml:space="preserve">TAI_pl_european_parliament</t>
  </si>
  <si>
    <t xml:space="preserve">Friends in the European Parliament</t>
  </si>
  <si>
    <t xml:space="preserve">+1% Stability; +25 Political Power</t>
  </si>
  <si>
    <t xml:space="preserve">TAI_pl_eu_supply</t>
  </si>
  <si>
    <t xml:space="preserve">European Industrial Supply Network</t>
  </si>
  <si>
    <t xml:space="preserve">Semiconductor Supply Security +5; Pressure to Negotiate -3</t>
  </si>
  <si>
    <t xml:space="preserve">TAI_pl_india</t>
  </si>
  <si>
    <t xml:space="preserve">Look West to New Delhi</t>
  </si>
  <si>
    <t xml:space="preserve">India</t>
  </si>
  <si>
    <t xml:space="preserve">Opinion: RAJ</t>
  </si>
  <si>
    <t xml:space="preserve">TAI_pl_india_tier1</t>
  </si>
  <si>
    <t xml:space="preserve">Tier I: Engineers and Electronics</t>
  </si>
  <si>
    <t xml:space="preserve">Research bonus information_technology 50% x1; Opinion: RAJ</t>
  </si>
  <si>
    <t xml:space="preserve">TAI_pl_india_tier2</t>
  </si>
  <si>
    <t xml:space="preserve">Tier II: Controlled Licensing</t>
  </si>
  <si>
    <t xml:space="preserve">Tier I: Engineers and Electronics; Protect the Crown Jewels</t>
  </si>
  <si>
    <t xml:space="preserve">+3bn Treasury; Mainland Economic Dependence -3</t>
  </si>
  <si>
    <t xml:space="preserve">TAI_pl_india_market</t>
  </si>
  <si>
    <t xml:space="preserve">Indian Market Diversification</t>
  </si>
  <si>
    <t xml:space="preserve">Mainland Economic Dependence -5</t>
  </si>
  <si>
    <t xml:space="preserve">TAI_pl_india_partnership</t>
  </si>
  <si>
    <t xml:space="preserve">Strategic Partnership with New Delhi</t>
  </si>
  <si>
    <t xml:space="preserve">After 2008.1.1</t>
  </si>
  <si>
    <t xml:space="preserve">Pressure to Negotiate -3; Strait Tension (CHI) +3</t>
  </si>
  <si>
    <t xml:space="preserve">TAI_pl_keep_allies</t>
  </si>
  <si>
    <t xml:space="preserve">Keep the Diplomatic Allies</t>
  </si>
  <si>
    <t xml:space="preserve">Allies and aid</t>
  </si>
  <si>
    <t xml:space="preserve">End Checkbook Diplomacy</t>
  </si>
  <si>
    <t xml:space="preserve">-3bn Treasury; +25 Political Power</t>
  </si>
  <si>
    <t xml:space="preserve">TAI_pl_end_checkbook</t>
  </si>
  <si>
    <t xml:space="preserve">+2bn Treasury; +2% Stability</t>
  </si>
  <si>
    <t xml:space="preserve">TAI_pl_transparent_aid</t>
  </si>
  <si>
    <t xml:space="preserve">Transparent Aid Diplomacy</t>
  </si>
  <si>
    <t xml:space="preserve">Keep the Diplomatic Allies or End Checkbook Diplomacy</t>
  </si>
  <si>
    <t xml:space="preserve">Corruption -1 level; +25 Political Power</t>
  </si>
  <si>
    <t xml:space="preserve">TAI_pl_wto</t>
  </si>
  <si>
    <t xml:space="preserve">Complete WTO Accession</t>
  </si>
  <si>
    <t xml:space="preserve">International space</t>
  </si>
  <si>
    <t xml:space="preserve">After 2001.11.1</t>
  </si>
  <si>
    <t xml:space="preserve">Timed spirit TAI_wto_membership (3650 days); -2% Stability</t>
  </si>
  <si>
    <t xml:space="preserve">TAI_pl_wha</t>
  </si>
  <si>
    <t xml:space="preserve">Bid for the World Health Assembly</t>
  </si>
  <si>
    <t xml:space="preserve">+25 Political Power; Strait Tension (CHI) +2</t>
  </si>
  <si>
    <t xml:space="preserve">TAI_pl_sars</t>
  </si>
  <si>
    <t xml:space="preserve">Lessons of SARS</t>
  </si>
  <si>
    <t xml:space="preserve">Timed spirit TAI_epidemic_preparedness (3650 days)</t>
  </si>
  <si>
    <t xml:space="preserve">TAI_pl_technical_seats</t>
  </si>
  <si>
    <t xml:space="preserve">Technical Seats at the Table</t>
  </si>
  <si>
    <t xml:space="preserve">+25 Political Power; +1% Stability</t>
  </si>
  <si>
    <t xml:space="preserve">TAI_pl_apec</t>
  </si>
  <si>
    <t xml:space="preserve">Make APEC Count</t>
  </si>
  <si>
    <t xml:space="preserve">Opinion: SIN</t>
  </si>
  <si>
    <t xml:space="preserve">TAI_pl_offices</t>
  </si>
  <si>
    <t xml:space="preserve">Expand Representative Offices</t>
  </si>
  <si>
    <t xml:space="preserve">+25 Political Power; Timed spirit TAI_representative_offices (1825 days)</t>
  </si>
  <si>
    <t xml:space="preserve">TAI_pl_document_coercion</t>
  </si>
  <si>
    <t xml:space="preserve">Prepare to Document Coercion</t>
  </si>
  <si>
    <t xml:space="preserve">Expand Representative Offices; Crisis Communication with Washington</t>
  </si>
  <si>
    <t xml:space="preserve">U.S. Support for Taiwan (CHI) +3; Pressure to Negotiate -3</t>
  </si>
  <si>
    <t xml:space="preserve">TAI_pl_lifeline_holds</t>
  </si>
  <si>
    <t xml:space="preserve">The Lifeline Holds</t>
  </si>
  <si>
    <t xml:space="preserve">Pre-Arranged U.S. Credit Facility; Japanese Credit Guarantees; European Industrial Supply Network</t>
  </si>
  <si>
    <t xml:space="preserve">Add spirit TAI_pacific_lifeline; U.S. Support for Taiwan (CHI) +5</t>
  </si>
  <si>
    <t xml:space="preserve">TAI_bt_root</t>
  </si>
  <si>
    <t xml:space="preserve">Strategy</t>
  </si>
  <si>
    <t xml:space="preserve">3 branch roots completed</t>
  </si>
  <si>
    <t xml:space="preserve">National Coordination Capacity +10; +50 Political Power</t>
  </si>
  <si>
    <t xml:space="preserve">TAI_bt_accommodation</t>
  </si>
  <si>
    <t xml:space="preserve">Strategy: Accommodation</t>
  </si>
  <si>
    <t xml:space="preserve">Strategy: Blue Tiger; Strategy: Island Fortress</t>
  </si>
  <si>
    <t xml:space="preserve">Add spirit TAI_strategy_accommodation; Strait Tension (CHI) -5</t>
  </si>
  <si>
    <t xml:space="preserve">TAI_bt_blue_tiger</t>
  </si>
  <si>
    <t xml:space="preserve">Strategy: Blue Tiger</t>
  </si>
  <si>
    <t xml:space="preserve">Strategy: Accommodation; Strategy: Island Fortress</t>
  </si>
  <si>
    <t xml:space="preserve">Add spirit TAI_strategy_blue_tiger</t>
  </si>
  <si>
    <t xml:space="preserve">TAI_bt_island_fortress</t>
  </si>
  <si>
    <t xml:space="preserve">Strategy: Island Fortress</t>
  </si>
  <si>
    <t xml:space="preserve">Strategy: Accommodation; Strategy: Blue Tiger</t>
  </si>
  <si>
    <t xml:space="preserve">Add spirit TAI_strategy_island_fortress; Strait Tension (CHI) +5; Mainland Economic Dependence -5</t>
  </si>
  <si>
    <t xml:space="preserve">TAI_bt_nsc</t>
  </si>
  <si>
    <t xml:space="preserve">The National Security Council Coordinates</t>
  </si>
  <si>
    <t xml:space="preserve">Strategy: Accommodation or Strategy: Blue Tiger or Strategy: Island Fortress</t>
  </si>
  <si>
    <t xml:space="preserve">National Coordination Capacity +10</t>
  </si>
  <si>
    <t xml:space="preserve">TAI_bt_adaptation_office</t>
  </si>
  <si>
    <t xml:space="preserve">Economic Adaptation Office</t>
  </si>
  <si>
    <t xml:space="preserve">Mainland Economic Dependence -3; Pressure to Negotiate -3</t>
  </si>
  <si>
    <t xml:space="preserve">TAI_bt_count_the_days</t>
  </si>
  <si>
    <t xml:space="preserve">Count the Days</t>
  </si>
  <si>
    <t xml:space="preserve">National Coordination Capacity +5; +25 Political Power</t>
  </si>
  <si>
    <t xml:space="preserve">TAI_bt_succession</t>
  </si>
  <si>
    <t xml:space="preserve">Unambiguous Succession</t>
  </si>
  <si>
    <t xml:space="preserve">Continuity of government</t>
  </si>
  <si>
    <t xml:space="preserve">TAI_bt_alternate_seats</t>
  </si>
  <si>
    <t xml:space="preserve">Alternate Seats of Government</t>
  </si>
  <si>
    <t xml:space="preserve">-1bn Treasury; +2% Stability</t>
  </si>
  <si>
    <t xml:space="preserve">TAI_bt_local_emergency</t>
  </si>
  <si>
    <t xml:space="preserve">Local Emergency Administration</t>
  </si>
  <si>
    <t xml:space="preserve">Alternate Seats of Government; Empower Local Government</t>
  </si>
  <si>
    <t xml:space="preserve">National Coordination Capacity +5; +2% War Support</t>
  </si>
  <si>
    <t xml:space="preserve">TAI_bt_emergency_limits</t>
  </si>
  <si>
    <t xml:space="preserve">Emergency Powers With Limits</t>
  </si>
  <si>
    <t xml:space="preserve">+3% Stability; Pressure to Negotiate -3</t>
  </si>
  <si>
    <t xml:space="preserve">TAI_bt_wan_an</t>
  </si>
  <si>
    <t xml:space="preserve">Revive the Wan An Drills</t>
  </si>
  <si>
    <t xml:space="preserve">Civil and economic continuity</t>
  </si>
  <si>
    <t xml:space="preserve">+3% War Support; Timed spirit TAI_civil_defense_drills (1825 days)</t>
  </si>
  <si>
    <t xml:space="preserve">TAI_bt_medical_surge</t>
  </si>
  <si>
    <t xml:space="preserve">Emergency Medical Surge</t>
  </si>
  <si>
    <t xml:space="preserve">TAI_bt_restore_grid</t>
  </si>
  <si>
    <t xml:space="preserve">Restore the Grid</t>
  </si>
  <si>
    <t xml:space="preserve">Build: infrastructure; Pressure to Negotiate -2</t>
  </si>
  <si>
    <t xml:space="preserve">TAI_bt_redundant_comms</t>
  </si>
  <si>
    <t xml:space="preserve">Redundant Communications</t>
  </si>
  <si>
    <t xml:space="preserve">Research bonus encryption 50% x1; National Coordination Capacity +3</t>
  </si>
  <si>
    <t xml:space="preserve">TAI_bt_financial_continuity</t>
  </si>
  <si>
    <t xml:space="preserve">Financial Continuity Plan</t>
  </si>
  <si>
    <t xml:space="preserve">The National Security Council Coordinates; A Defined Reserve Facility</t>
  </si>
  <si>
    <t xml:space="preserve">TAI_bt_rationing</t>
  </si>
  <si>
    <t xml:space="preserve">Rationing Without Panic</t>
  </si>
  <si>
    <t xml:space="preserve">TAI_bt_ports_open</t>
  </si>
  <si>
    <t xml:space="preserve">Keep the Ports Open</t>
  </si>
  <si>
    <t xml:space="preserve">TAI_bt_airlift</t>
  </si>
  <si>
    <t xml:space="preserve">High-Value Airlift</t>
  </si>
  <si>
    <t xml:space="preserve">Semiconductor Supply Security +5</t>
  </si>
  <si>
    <t xml:space="preserve">TAI_bt_emergency_procurement</t>
  </si>
  <si>
    <t xml:space="preserve">Emergency Procurement Networks</t>
  </si>
  <si>
    <t xml:space="preserve">High-Value Airlift; Economic Adaptation Office</t>
  </si>
  <si>
    <t xml:space="preserve">Pressure to Negotiate -3; Corruption -1 level</t>
  </si>
  <si>
    <t xml:space="preserve">TAI_bt_publish_reserves</t>
  </si>
  <si>
    <t xml:space="preserve">Publish the Reserve Levels</t>
  </si>
  <si>
    <t xml:space="preserve">TAI_bt_document_incidents</t>
  </si>
  <si>
    <t xml:space="preserve">Document Every Incident</t>
  </si>
  <si>
    <t xml:space="preserve">The National Security Council Coordinates; Prepare to Document Coercion</t>
  </si>
  <si>
    <t xml:space="preserve">U.S. Support for Taiwan (CHI) +3</t>
  </si>
  <si>
    <t xml:space="preserve">TAI_bt_semiconductor_continuity</t>
  </si>
  <si>
    <t xml:space="preserve">Semiconductor Continuity Pact</t>
  </si>
  <si>
    <t xml:space="preserve">The National Security Council Coordinates; The Silicon Shield</t>
  </si>
  <si>
    <t xml:space="preserve">TAI_bt_counterweapon</t>
  </si>
  <si>
    <t xml:space="preserve">The Counterweapon</t>
  </si>
  <si>
    <t xml:space="preserve">+25 Political Power; Strait Tension (CHI) +3</t>
  </si>
  <si>
    <t xml:space="preserve">TAI_bt_emergency_doctrine</t>
  </si>
  <si>
    <t xml:space="preserve">Blue Tiger Emergency Doctrine</t>
  </si>
  <si>
    <t xml:space="preserve">Emergency Powers With Limits; Rationing Without Panic; Emergency Procurement Networks</t>
  </si>
  <si>
    <t xml:space="preserve">Add spirit TAI_emergency_doctrine; Pressure to Negotiate -5</t>
  </si>
  <si>
    <t xml:space="preserve">TAI_bt_island_endures</t>
  </si>
  <si>
    <t xml:space="preserve">The Island Can Endure</t>
  </si>
  <si>
    <t xml:space="preserve">Pressure to Negotiate -10; +3% War Support</t>
  </si>
  <si>
    <t xml:space="preserve">TAI_bt_capstone</t>
  </si>
  <si>
    <t xml:space="preserve">Impossible to Coerce at an Acceptable Price</t>
  </si>
  <si>
    <t xml:space="preserve">The Island Can Endure; The Lifeline Holds; Fortress Taiwan or Hybrid Resilience</t>
  </si>
  <si>
    <t xml:space="preserve">Add spirit TAI_impossible_to_coerce; Pressure to Negotiate -10</t>
  </si>
  <si>
    <t xml:space="preserve">Spirit ID</t>
  </si>
  <si>
    <t xml:space="preserve">Starting spirit</t>
  </si>
  <si>
    <t xml:space="preserve">Modifiers</t>
  </si>
  <si>
    <t xml:space="preserve">Granted by</t>
  </si>
  <si>
    <t xml:space="preserve">Description</t>
  </si>
  <si>
    <t xml:space="preserve">TAI_young_democracy</t>
  </si>
  <si>
    <t xml:space="preserve">Young Democracy</t>
  </si>
  <si>
    <t xml:space="preserve">Yes</t>
  </si>
  <si>
    <t xml:space="preserve">political_power_factor = -0.05; democratic_drift = 0.02</t>
  </si>
  <si>
    <t xml:space="preserve">Game start</t>
  </si>
  <si>
    <t xml:space="preserve">Direct presidential elections are only four years old, and many institutions still carry habits from one-party rule. Public enthusiasm for democracy is high, but reform is slow and contested.</t>
  </si>
  <si>
    <t xml:space="preserve">TAI_party_army</t>
  </si>
  <si>
    <t xml:space="preserve">Legacy of the Party-Army</t>
  </si>
  <si>
    <t xml:space="preserve">political_power_factor = -0.05; experience_gain_army = -0.10</t>
  </si>
  <si>
    <t xml:space="preserve">For decades the armed forces swore loyalty to the Kuomintang as well as the state. Many senior officers are uneasy about serving a government formed by another party.</t>
  </si>
  <si>
    <t xml:space="preserve">TAI_party_army_reduced</t>
  </si>
  <si>
    <t xml:space="preserve">No</t>
  </si>
  <si>
    <t xml:space="preserve">experience_gain_army = -0.05</t>
  </si>
  <si>
    <t xml:space="preserve">The armed forces now serve the constitution in law, but old habits fade slowly.</t>
  </si>
  <si>
    <t xml:space="preserve">TAI_did_legacy</t>
  </si>
  <si>
    <t xml:space="preserve">Defense-in-Depth Legacy</t>
  </si>
  <si>
    <t xml:space="preserve">army_defence_factor = 0.05; max_dig_in = 2; naval_damage_factor = -0.05; air_attack_factor = -0.05; planning_speed = -0.05</t>
  </si>
  <si>
    <t xml:space="preserve">Our forces were built to defeat a landing on the beaches. They dig in well but are poorly prepared to strike at sea or fight as a joint force.</t>
  </si>
  <si>
    <t xml:space="preserve">TAI_did_legacy_reformed</t>
  </si>
  <si>
    <t xml:space="preserve">army_defence_factor = 0.05; max_dig_in = 2</t>
  </si>
  <si>
    <t xml:space="preserve">Joint command has removed the worst seams between the services, but our doctrine still centers on the beaches.</t>
  </si>
  <si>
    <t xml:space="preserve">TAI_uneven_reserves</t>
  </si>
  <si>
    <t xml:space="preserve">Large but Uneven Reserve System</t>
  </si>
  <si>
    <t xml:space="preserve">training_time_factor = 0.10; army_org_factor = -0.03</t>
  </si>
  <si>
    <t xml:space="preserve">Millions of men are listed as reservists after conscription, but refresher training is short and irregular.</t>
  </si>
  <si>
    <t xml:space="preserve">TAI_limited_absorption</t>
  </si>
  <si>
    <t xml:space="preserve">Advanced Procurement, Limited Absorption</t>
  </si>
  <si>
    <t xml:space="preserve">experience_gain_air = -0.05; experience_gain_navy = -0.05</t>
  </si>
  <si>
    <t xml:space="preserve">The F-16s, Mirage 2000-5s and new frigates of the 1990s arrived faster than crews, mechanics and spare parts could keep up.</t>
  </si>
  <si>
    <t xml:space="preserve">TAI_divided_government</t>
  </si>
  <si>
    <t xml:space="preserve">Divided Government</t>
  </si>
  <si>
    <t xml:space="preserve">political_power_factor = -0.10; stability_factor = -0.03</t>
  </si>
  <si>
    <t xml:space="preserve">A Government Without a Majority; Reunite the Pan-Blue Camp; Reform the Legislative Yuan</t>
  </si>
  <si>
    <t xml:space="preserve">The president's party does not control the Legislative Yuan. Every budget and reform must be negotiated with the opposition.</t>
  </si>
  <si>
    <t xml:space="preserve">TAI_consolidated_democracy</t>
  </si>
  <si>
    <t xml:space="preserve">Consolidated Democracy</t>
  </si>
  <si>
    <t xml:space="preserve">stability_factor = 0.05; political_power_factor = 0.05; foreign_influence_defense_modifier = 0.15; drift_defence_factor = 0.15</t>
  </si>
  <si>
    <t xml:space="preserve">Peaceful alternation in power, independent courts and a free press are now accepted by every major party.</t>
  </si>
  <si>
    <t xml:space="preserve">TAI_recession_relief</t>
  </si>
  <si>
    <t xml:space="preserve">Recession Relief</t>
  </si>
  <si>
    <t xml:space="preserve">stability_factor = 0.03</t>
  </si>
  <si>
    <t xml:space="preserve">Job programmes and targeted relief keep the technology downturn from becoming a social crisis.</t>
  </si>
  <si>
    <t xml:space="preserve">TAI_technocratic_cabinet</t>
  </si>
  <si>
    <t xml:space="preserve">A Cabinet of Technocrats</t>
  </si>
  <si>
    <t xml:space="preserve">research_speed_factor = 0.03; production_factory_efficiency_gain_factor = 0.03; political_power_factor = -0.03</t>
  </si>
  <si>
    <t xml:space="preserve">Experienced administrators run the ministries, trading political charisma for steady delivery.</t>
  </si>
  <si>
    <t xml:space="preserve">TAI_professional_state_enterprises</t>
  </si>
  <si>
    <t xml:space="preserve">production_factory_max_efficiency_factor = 0.03; corporate_tax_income_multiplier_modifier = 0.03</t>
  </si>
  <si>
    <t xml:space="preserve">State enterprises are led by managers chosen for competence rather than party service.</t>
  </si>
  <si>
    <t xml:space="preserve">TAI_posture_active_defense</t>
  </si>
  <si>
    <t xml:space="preserve">Active Defense</t>
  </si>
  <si>
    <t xml:space="preserve">naval_damage_factor = 0.05; air_attack_factor = 0.05; air_superiority_efficiency = 0.05; army_defence_factor = 0.02</t>
  </si>
  <si>
    <t xml:space="preserve">Our doctrine now aims to engage an invasion force in the Strait and at its bases, with air, naval and strike power taking the lead.</t>
  </si>
  <si>
    <t xml:space="preserve">TAI_posture_hard_roc</t>
  </si>
  <si>
    <t xml:space="preserve">army_defence_factor = 0.08; max_dig_in = 3; amphibious_invasion_defence = 0.10; naval_mine_hit_chance = 0.05</t>
  </si>
  <si>
    <t xml:space="preserve">Our doctrine emphasises survival, denial and recovery: hardened bases, mines and forces that can absorb a first strike.</t>
  </si>
  <si>
    <t xml:space="preserve">TAI_posture_asymmetric</t>
  </si>
  <si>
    <t xml:space="preserve">Asymmetric Defense</t>
  </si>
  <si>
    <t xml:space="preserve">army_defence_factor = 0.05; amphibious_invasion_defence = 0.15; naval_mine_hit_chance = 0.10; static_anti_air_damage_factor = 0.10; air_superiority_efficiency = -0.05</t>
  </si>
  <si>
    <t xml:space="preserve">Many small, mobile and survivable systems deny a stronger enemy control of our coasts, at the cost of peacetime presence in the air and at sea.</t>
  </si>
  <si>
    <t xml:space="preserve">TAI_posture_hybrid</t>
  </si>
  <si>
    <t xml:space="preserve">army_defence_factor = 0.05; amphibious_invasion_defence = 0.10; naval_damage_factor = 0.03; air_superiority_efficiency = 0.03; static_anti_air_damage_factor = 0.05</t>
  </si>
  <si>
    <t xml:space="preserve">We keep enough conventional forces to contest gray-zone pressure while building survivable forces to deny an invasion.</t>
  </si>
  <si>
    <t xml:space="preserve">TAI_professional_officer_corps</t>
  </si>
  <si>
    <t xml:space="preserve">max_planning = 0.05; experience_gain_army = 0.05</t>
  </si>
  <si>
    <t xml:space="preserve">Merit promotion and joint education build commanders for a changing force.</t>
  </si>
  <si>
    <t xml:space="preserve">TAI_runway_repair_teams</t>
  </si>
  <si>
    <t xml:space="preserve">Runway Repair Teams</t>
  </si>
  <si>
    <t xml:space="preserve">production_speed_air_base_factor = 0.25; air_superiority_efficiency = 0.02</t>
  </si>
  <si>
    <t xml:space="preserve">Trained crews and stockpiled materials can return damaged airbases to service within hours.</t>
  </si>
  <si>
    <t xml:space="preserve">TAI_mined_approaches</t>
  </si>
  <si>
    <t xml:space="preserve">Mined Approaches</t>
  </si>
  <si>
    <t xml:space="preserve">naval_mine_hit_chance = 0.10; mines_planting_by_fleets_factor = 0.20</t>
  </si>
  <si>
    <t xml:space="preserve">Mine stocks and fast minelayers make every landing beach dangerous for an invader.</t>
  </si>
  <si>
    <t xml:space="preserve">TAI_hardened_shelters</t>
  </si>
  <si>
    <t xml:space="preserve">Hardened Shelters</t>
  </si>
  <si>
    <t xml:space="preserve">production_speed_bunker_factor = 0.20; production_speed_coastal_bunker_factor = 0.20; army_core_defence_factor = 0.03</t>
  </si>
  <si>
    <t xml:space="preserve">Aircraft shelters, buried command posts and spare runways help our forces survive the first strike.</t>
  </si>
  <si>
    <t xml:space="preserve">TAI_dispersed_forces</t>
  </si>
  <si>
    <t xml:space="preserve">Dispersed Forces</t>
  </si>
  <si>
    <t xml:space="preserve">army_core_defence_factor = 0.05; static_anti_air_damage_factor = 0.05</t>
  </si>
  <si>
    <t xml:space="preserve">Units spread across many small sites cannot all be destroyed in a single salvo.</t>
  </si>
  <si>
    <t xml:space="preserve">TAI_whole_of_society_defense</t>
  </si>
  <si>
    <t xml:space="preserve">war_support_factor = 0.05; army_core_defence_factor = 0.05; conscription_factor = 0.05</t>
  </si>
  <si>
    <t xml:space="preserve">Reserves, civil defense volunteers and infrastructure operators train together to keep the island functioning under attack.</t>
  </si>
  <si>
    <t xml:space="preserve">TAI_fortress_taiwan</t>
  </si>
  <si>
    <t xml:space="preserve">army_core_defence_factor = 0.10; max_dig_in = 2; consumer_goods_factor = 0.03; political_power_factor = -0.05</t>
  </si>
  <si>
    <t xml:space="preserve">Every layer of our defense reinforces the others. Keeping it at readiness is expensive and politically demanding.</t>
  </si>
  <si>
    <t xml:space="preserve">TAI_volunteer_reserve_split</t>
  </si>
  <si>
    <t xml:space="preserve">training_time_factor = -0.05; conscription_factor = -0.05; army_org_factor = 0.03</t>
  </si>
  <si>
    <t xml:space="preserve">Volunteers staff the first-line force while conscripts fill the reserves.</t>
  </si>
  <si>
    <t xml:space="preserve">TAI_professional_force</t>
  </si>
  <si>
    <t xml:space="preserve">army_org_factor = 0.05; training_time_factor = -0.10; conscription_factor = -0.15; personnel_cost_multiplier_modifier = 0.10</t>
  </si>
  <si>
    <t xml:space="preserve">Long-service volunteers are better trained, harder to replace and more expensive to keep.</t>
  </si>
  <si>
    <t xml:space="preserve">TAI_extended_conscription</t>
  </si>
  <si>
    <t xml:space="preserve">Extended Conscription</t>
  </si>
  <si>
    <t xml:space="preserve">conscription_factor = 0.15; stability_factor = -0.03; consumer_goods_factor = 0.01</t>
  </si>
  <si>
    <t xml:space="preserve">Long conscription keeps a deep pool of trained men at the cost of popularity and lost civilian work.</t>
  </si>
  <si>
    <t xml:space="preserve">TAI_junior_leader_initiative</t>
  </si>
  <si>
    <t xml:space="preserve">Junior Leader Initiative</t>
  </si>
  <si>
    <t xml:space="preserve">army_org_factor = 0.03; planning_speed = 0.05</t>
  </si>
  <si>
    <t xml:space="preserve">Sergeants and lieutenants trusted to act on their own judgment make our force far harder to paralyse.</t>
  </si>
  <si>
    <t xml:space="preserve">TAI_silicon_shield</t>
  </si>
  <si>
    <t xml:space="preserve">local_resources_microchips_factor = 0.05; trade_opinion_factor = 0.10; foreign_influence_defense_modifier = 0.10</t>
  </si>
  <si>
    <t xml:space="preserve">Much of the world economy depends on our foundries, giving many governments a stake in our stability. It is an interest, not a guarantee.</t>
  </si>
  <si>
    <t xml:space="preserve">TAI_financial_reform</t>
  </si>
  <si>
    <t xml:space="preserve">Financial Reform</t>
  </si>
  <si>
    <t xml:space="preserve">interest_rate_multiplier_modifier = -0.05; stability_factor = 0.02</t>
  </si>
  <si>
    <t xml:space="preserve">Cleaning up bad loans has restored confidence in our banks.</t>
  </si>
  <si>
    <t xml:space="preserve">TAI_service_economy</t>
  </si>
  <si>
    <t xml:space="preserve">tax_gain_multiplier_modifier = 0.03</t>
  </si>
  <si>
    <t xml:space="preserve">Finance, design and tourism earn income that does not pass through a single market.</t>
  </si>
  <si>
    <t xml:space="preserve">TAI_strategic_fuel_reserve</t>
  </si>
  <si>
    <t xml:space="preserve">stability_factor = 0.02; war_support_factor = 0.02</t>
  </si>
  <si>
    <t xml:space="preserve">Larger oil stocks buy time if tankers stop arriving.</t>
  </si>
  <si>
    <t xml:space="preserve">TAI_strategic_reserves</t>
  </si>
  <si>
    <t xml:space="preserve">National Endurance Target</t>
  </si>
  <si>
    <t xml:space="preserve">stability_factor = 0.03; war_support_factor = 0.03</t>
  </si>
  <si>
    <t xml:space="preserve">Fuel, food and chip materials each have a stockpile target and a plan to reach it.</t>
  </si>
  <si>
    <t xml:space="preserve">TAI_no_haste</t>
  </si>
  <si>
    <t xml:space="preserve">drift_defence_factor = 0.05; tax_gain_multiplier_modifier = -0.03</t>
  </si>
  <si>
    <t xml:space="preserve">Limits on large mainland investments slow growth and reduce our exposure to Beijing's leverage.</t>
  </si>
  <si>
    <t xml:space="preserve">TAI_active_opening</t>
  </si>
  <si>
    <t xml:space="preserve">tax_gain_multiplier_modifier = 0.04; foreign_influence_defense_modifier = -0.05</t>
  </si>
  <si>
    <t xml:space="preserve">Looser investment rules let our firms profit from the mainland's growth while dependence rises.</t>
  </si>
  <si>
    <t xml:space="preserve">TAI_direct_links</t>
  </si>
  <si>
    <t xml:space="preserve">Direct Cross-Strait Links</t>
  </si>
  <si>
    <t xml:space="preserve">trade_opinion_factor = 0.05; tax_gain_multiplier_modifier = 0.03</t>
  </si>
  <si>
    <t xml:space="preserve">Direct shipping, flights and mail have ended decades of detours through Hong Kong.</t>
  </si>
  <si>
    <t xml:space="preserve">TAI_cross_strait_framework</t>
  </si>
  <si>
    <t xml:space="preserve">Cross-Strait Economic Framework</t>
  </si>
  <si>
    <t xml:space="preserve">tax_gain_multiplier_modifier = 0.05; production_factory_efficiency_gain_factor = 0.03; foreign_influence_defense_modifier = -0.10</t>
  </si>
  <si>
    <t xml:space="preserve">A broad trade agreement lowers tariffs across the Strait and gives Beijing its strongest economic lever.</t>
  </si>
  <si>
    <t xml:space="preserve">TAI_status_quo_dividend</t>
  </si>
  <si>
    <t xml:space="preserve">Status Quo Dividend</t>
  </si>
  <si>
    <t xml:space="preserve">tax_gain_multiplier_modifier = 0.02; stability_factor = 0.02</t>
  </si>
  <si>
    <t xml:space="preserve">Calm in the Strait lowers insurance costs and attracts investors.</t>
  </si>
  <si>
    <t xml:space="preserve">TAI_managed_ambiguity</t>
  </si>
  <si>
    <t xml:space="preserve">stability_factor = 0.03; political_power_factor = 0.05; drift_defence_factor = 0.10</t>
  </si>
  <si>
    <t xml:space="preserve">We decline to settle the final question while strengthening the state we already govern.</t>
  </si>
  <si>
    <t xml:space="preserve">TAI_wto_membership</t>
  </si>
  <si>
    <t xml:space="preserve">WTO Membership</t>
  </si>
  <si>
    <t xml:space="preserve">trade_opinion_factor = 0.10; production_factory_max_efficiency_factor = 0.02</t>
  </si>
  <si>
    <t xml:space="preserve">As the Separate Customs Territory of Taiwan, Penghu, Kinmen and Matsu, we now trade under global rules.</t>
  </si>
  <si>
    <t xml:space="preserve">TAI_epidemic_preparedness</t>
  </si>
  <si>
    <t xml:space="preserve">Epidemic Preparedness</t>
  </si>
  <si>
    <t xml:space="preserve">health_cost_multiplier_modifier = -0.05; stability_factor = 0.02</t>
  </si>
  <si>
    <t xml:space="preserve">The lessons of SARS have produced better surveillance, isolation wards and stockpiles.</t>
  </si>
  <si>
    <t xml:space="preserve">TAI_representative_offices</t>
  </si>
  <si>
    <t xml:space="preserve">Representative Offices</t>
  </si>
  <si>
    <t xml:space="preserve">opinion_gain_monthly_factor = 0.10; improve_relations_maintain_cost_factor = -0.10</t>
  </si>
  <si>
    <t xml:space="preserve">Economic and cultural offices abroad do the work of embassies without the name.</t>
  </si>
  <si>
    <t xml:space="preserve">TAI_pacific_lifeline</t>
  </si>
  <si>
    <t xml:space="preserve">opinion_gain_monthly_factor = 0.10; trade_opinion_factor = 0.05; war_support_factor = 0.03</t>
  </si>
  <si>
    <t xml:space="preserve">Partners in Washington, Tokyo and Europe have crisis arrangements ready. None of them is an automatic promise to fight.</t>
  </si>
  <si>
    <t xml:space="preserve">TAI_strategy_accommodation</t>
  </si>
  <si>
    <t xml:space="preserve">tax_gain_multiplier_modifier = 0.03; foreign_influence_defense_modifier = -0.10</t>
  </si>
  <si>
    <t xml:space="preserve">Extensive economic ties and minimal confrontation bring prosperity while Beijing's leverage grows.</t>
  </si>
  <si>
    <t xml:space="preserve">TAI_strategy_blue_tiger</t>
  </si>
  <si>
    <t xml:space="preserve">stability_factor = 0.02; foreign_influence_defense_modifier = 0.05</t>
  </si>
  <si>
    <t xml:space="preserve">Selective ties, diversification and preparation make Taiwan harder to coerce without provoking a crisis.</t>
  </si>
  <si>
    <t xml:space="preserve">TAI_strategy_island_fortress</t>
  </si>
  <si>
    <t xml:space="preserve">war_support_factor = 0.05; tax_gain_multiplier_modifier = -0.03; army_core_defence_factor = 0.03</t>
  </si>
  <si>
    <t xml:space="preserve">Rapid diversification and heavy stockpiling reduce our exposure at the cost of growth and a more alarmed Beijing.</t>
  </si>
  <si>
    <t xml:space="preserve">TAI_civil_defense_drills</t>
  </si>
  <si>
    <t xml:space="preserve">Wan An Drills</t>
  </si>
  <si>
    <t xml:space="preserve">war_support_factor = 0.03; static_anti_air_damage_factor = 0.03</t>
  </si>
  <si>
    <t xml:space="preserve">Annual air-raid drills teach citizens where to shelter and how to help.</t>
  </si>
  <si>
    <t xml:space="preserve">TAI_emergency_doctrine</t>
  </si>
  <si>
    <t xml:space="preserve">stability_factor = 0.03; war_support_factor = 0.03; political_power_factor = 0.03</t>
  </si>
  <si>
    <t xml:space="preserve">Emergency procedures for gray-zone pressure, blockade, missile attack and invasion are written, rehearsed and bounded by law.</t>
  </si>
  <si>
    <t xml:space="preserve">TAI_impossible_to_coerce</t>
  </si>
  <si>
    <t xml:space="preserve">Impossible to Coerce</t>
  </si>
  <si>
    <t xml:space="preserve">stability_factor = 0.05; war_support_factor = 0.05; foreign_influence_defense_modifier = 0.20; army_core_defence_factor = 0.05</t>
  </si>
  <si>
    <t xml:space="preserve">Taiwan does not have to be impossible to hurt. It has to be impossible to coerce at an acceptable price.</t>
  </si>
  <si>
    <t xml:space="preserve">Variable</t>
  </si>
  <si>
    <t xml:space="preserve">Meaning</t>
  </si>
  <si>
    <t xml:space="preserve">Scope</t>
  </si>
  <si>
    <t xml:space="preserve">Start value</t>
  </si>
  <si>
    <t xml:space="preserve">Source</t>
  </si>
  <si>
    <t xml:space="preserve">TAI_us_confidence</t>
  </si>
  <si>
    <t xml:space="preserve">U.S. Confidence in Taipei</t>
  </si>
  <si>
    <t xml:space="preserve">TAI</t>
  </si>
  <si>
    <t xml:space="preserve">New; moved by focuses</t>
  </si>
  <si>
    <t xml:space="preserve">Pass VI (separate from commitment)</t>
  </si>
  <si>
    <t xml:space="preserve">TAI_military_confidence</t>
  </si>
  <si>
    <t xml:space="preserve">Military Confidence</t>
  </si>
  <si>
    <t xml:space="preserve">Pass IV</t>
  </si>
  <si>
    <t xml:space="preserve">TAI_reform_capacity</t>
  </si>
  <si>
    <t xml:space="preserve">Reform Capacity</t>
  </si>
  <si>
    <t xml:space="preserve">TAI_mainland_dependence</t>
  </si>
  <si>
    <t xml:space="preserve">Mainland Economic Dependence</t>
  </si>
  <si>
    <t xml:space="preserve">Pass VI (separate from trust)</t>
  </si>
  <si>
    <t xml:space="preserve">TAI_semiconductor_security</t>
  </si>
  <si>
    <t xml:space="preserve">Semiconductor Supply Security</t>
  </si>
  <si>
    <t xml:space="preserve">Directive section 4</t>
  </si>
  <si>
    <t xml:space="preserve">TAI_pressure_to_negotiate</t>
  </si>
  <si>
    <t xml:space="preserve">Pressure to Negotiate</t>
  </si>
  <si>
    <t xml:space="preserve">Pass VI</t>
  </si>
  <si>
    <t xml:space="preserve">TAI_taiwanese_identity</t>
  </si>
  <si>
    <t xml:space="preserve">Taiwan-Centered Identity</t>
  </si>
  <si>
    <t xml:space="preserve">Pass III / thesis</t>
  </si>
  <si>
    <t xml:space="preserve">TAI_national_coordination</t>
  </si>
  <si>
    <t xml:space="preserve">National Coordination Capacity</t>
  </si>
  <si>
    <t xml:space="preserve">Pass VI (30-page draft)</t>
  </si>
  <si>
    <t xml:space="preserve">TAI_defense_posture</t>
  </si>
  <si>
    <t xml:space="preserve">Defense posture (1 DiD, 2 Active, 3 Hard ROC, 4 Asymmetric, 5 Hybrid)</t>
  </si>
  <si>
    <t xml:space="preserve">New; set by doctrine focuses</t>
  </si>
  <si>
    <t xml:space="preserve">CHI_taiwan_strait_tension</t>
  </si>
  <si>
    <t xml:space="preserve">Cross-Strait Tension</t>
  </si>
  <si>
    <t xml:space="preserve">CHI</t>
  </si>
  <si>
    <t xml:space="preserve">Existing MD variable, reused</t>
  </si>
  <si>
    <t xml:space="preserve">Millennium Dawn</t>
  </si>
  <si>
    <t xml:space="preserve">CHI_TAI_trust</t>
  </si>
  <si>
    <t xml:space="preserve">Cross-Strait political trust</t>
  </si>
  <si>
    <t xml:space="preserve">CHI_taiwan_us_support</t>
  </si>
  <si>
    <t xml:space="preserve">U.S. Security Commitment</t>
  </si>
  <si>
    <t xml:space="preserve">Start values are proposed balance values on 0-100 scales, not historical measurements. CHI values are Millennium Dawn's existing history settings.</t>
  </si>
  <si>
    <t xml:space="preserve">File</t>
  </si>
  <si>
    <t xml:space="preserve">Change</t>
  </si>
  <si>
    <t xml:space="preserve">Lines added</t>
  </si>
  <si>
    <t xml:space="preserve">Lines deleted</t>
  </si>
  <si>
    <t xml:space="preserve">common/national_focus/05_taiwan.txt</t>
  </si>
  <si>
    <t xml:space="preserve">New file: taiwan_focus tree, 247 focuses</t>
  </si>
  <si>
    <t xml:space="preserve">common/ideas/05_taiwan.txt</t>
  </si>
  <si>
    <t xml:space="preserve">Added 54 Blue Tiger national spirits</t>
  </si>
  <si>
    <t xml:space="preserve">common/scripted_triggers/99_TAI_scripted_triggers.txt</t>
  </si>
  <si>
    <t xml:space="preserve">Added 7 triggers (government camp, LY majority, roots ready)</t>
  </si>
  <si>
    <t xml:space="preserve">common/scripted_effects/99_TAI_scripted_effects.txt</t>
  </si>
  <si>
    <t xml:space="preserve">Added 3 effects</t>
  </si>
  <si>
    <t xml:space="preserve">history/countries/TAI - Taiwan.txt</t>
  </si>
  <si>
    <t xml:space="preserve">Added 5 starting spirits and 9 state variables</t>
  </si>
  <si>
    <t xml:space="preserve">localisation/english/MD_focus_TAI_l_english.yml</t>
  </si>
  <si>
    <t xml:space="preserve">Added all focus, spirit, variable and tooltip text</t>
  </si>
  <si>
    <t xml:space="preserve">Changelog.txt</t>
  </si>
  <si>
    <t xml:space="preserve">Added one line under v2.0.1 Content</t>
  </si>
  <si>
    <t xml:space="preserve">Line counts from git diff --stat on branch obt-taiwan-overhaul, 16 Oct 2026. All changes are uncommitted.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</si>
</sst>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1" customFormat="false" ht="15" hidden="false" customHeight="false" outlineLevel="0" collapsed="false">
      <c r="A11" s="4" t="s">
        <v>9</v>
      </c>
      <c r="B11" s="4" t="s">
        <v>13</v>
      </c>
      <c r="C11" s="4" t="s">
        <v>14</v>
      </c>
      <c r="D11" s="4" t="s">
        <v>15</v>
      </c>
    </row>
    <row r="12" customFormat="false" ht="15" hidden="false" customHeight="false" outlineLevel="0" collapsed="false">
      <c r="A12" s="3" t="s">
        <v>16</v>
      </c>
      <c r="B12" s="3" t="n">
        <f aca="false">COUNTIF(Focuses!$C$2:$C$248,A12)</f>
        <v>41</v>
      </c>
      <c r="C12" s="3" t="n">
        <f aca="false">SUMIF(Focuses!$C$2:$C$248,A12,Focuses!$E$2:$E$248)</f>
        <v>2485</v>
      </c>
      <c r="D12" s="3" t="n">
        <f aca="false">COUNTIFS(Focuses!$C$2:$C$248,A12,Focuses!$L$2:$L$248,"In-game tested")</f>
        <v>0</v>
      </c>
    </row>
    <row r="13" customFormat="false" ht="15" hidden="false" customHeight="false" outlineLevel="0" collapsed="false">
      <c r="A13" s="3" t="s">
        <v>17</v>
      </c>
      <c r="B13" s="3" t="n">
        <f aca="false">COUNTIF(Focuses!$C$2:$C$248,A13)</f>
        <v>30</v>
      </c>
      <c r="C13" s="3" t="n">
        <f aca="false">SUMIF(Focuses!$C$2:$C$248,A13,Focuses!$E$2:$E$248)</f>
        <v>2030</v>
      </c>
      <c r="D13" s="3" t="n">
        <f aca="false">COUNTIFS(Focuses!$C$2:$C$248,A13,Focuses!$L$2:$L$248,"In-game tested")</f>
        <v>0</v>
      </c>
    </row>
    <row r="14" customFormat="false" ht="15" hidden="false" customHeight="false" outlineLevel="0" collapsed="false">
      <c r="A14" s="3" t="s">
        <v>18</v>
      </c>
      <c r="B14" s="3" t="n">
        <f aca="false">COUNTIF(Focuses!$C$2:$C$248,A14)</f>
        <v>50</v>
      </c>
      <c r="C14" s="3" t="n">
        <f aca="false">SUMIF(Focuses!$C$2:$C$248,A14,Focuses!$E$2:$E$248)</f>
        <v>4095</v>
      </c>
      <c r="D14" s="3" t="n">
        <f aca="false">COUNTIFS(Focuses!$C$2:$C$248,A14,Focuses!$L$2:$L$248,"In-game tested")</f>
        <v>0</v>
      </c>
    </row>
    <row r="15" customFormat="false" ht="15" hidden="false" customHeight="false" outlineLevel="0" collapsed="false">
      <c r="A15" s="3" t="s">
        <v>19</v>
      </c>
      <c r="B15" s="3" t="n">
        <f aca="false">COUNTIF(Focuses!$C$2:$C$248,A15)</f>
        <v>37</v>
      </c>
      <c r="C15" s="3" t="n">
        <f aca="false">SUMIF(Focuses!$C$2:$C$248,A15,Focuses!$E$2:$E$248)</f>
        <v>2975</v>
      </c>
      <c r="D15" s="3" t="n">
        <f aca="false">COUNTIFS(Focuses!$C$2:$C$248,A15,Focuses!$L$2:$L$248,"In-game tested")</f>
        <v>0</v>
      </c>
    </row>
    <row r="16" customFormat="false" ht="15" hidden="false" customHeight="false" outlineLevel="0" collapsed="false">
      <c r="A16" s="3" t="s">
        <v>20</v>
      </c>
      <c r="B16" s="3" t="n">
        <f aca="false">COUNTIF(Focuses!$C$2:$C$248,A16)</f>
        <v>29</v>
      </c>
      <c r="C16" s="3" t="n">
        <f aca="false">SUMIF(Focuses!$C$2:$C$248,A16,Focuses!$E$2:$E$248)</f>
        <v>2065</v>
      </c>
      <c r="D16" s="3" t="n">
        <f aca="false">COUNTIFS(Focuses!$C$2:$C$248,A16,Focuses!$L$2:$L$248,"In-game tested")</f>
        <v>0</v>
      </c>
    </row>
    <row r="17" customFormat="false" ht="15" hidden="false" customHeight="false" outlineLevel="0" collapsed="false">
      <c r="A17" s="3" t="s">
        <v>21</v>
      </c>
      <c r="B17" s="3" t="n">
        <f aca="false">COUNTIF(Focuses!$C$2:$C$248,A17)</f>
        <v>33</v>
      </c>
      <c r="C17" s="3" t="n">
        <f aca="false">SUMIF(Focuses!$C$2:$C$248,A17,Focuses!$E$2:$E$248)</f>
        <v>2205</v>
      </c>
      <c r="D17" s="3" t="n">
        <f aca="false">COUNTIFS(Focuses!$C$2:$C$248,A17,Focuses!$L$2:$L$248,"In-game tested")</f>
        <v>0</v>
      </c>
    </row>
    <row r="18" customFormat="false" ht="15" hidden="false" customHeight="false" outlineLevel="0" collapsed="false">
      <c r="A18" s="3" t="s">
        <v>22</v>
      </c>
      <c r="B18" s="3" t="n">
        <f aca="false">COUNTIF(Focuses!$C$2:$C$248,A18)</f>
        <v>27</v>
      </c>
      <c r="C18" s="3" t="n">
        <f aca="false">SUMIF(Focuses!$C$2:$C$248,A18,Focuses!$E$2:$E$248)</f>
        <v>1750</v>
      </c>
      <c r="D18" s="3" t="n">
        <f aca="false">COUNTIFS(Focuses!$C$2:$C$248,A18,Focuses!$L$2:$L$248,"In-game tested")</f>
        <v>0</v>
      </c>
    </row>
    <row r="19" customFormat="false" ht="15" hidden="false" customHeight="false" outlineLevel="0" collapsed="false">
      <c r="A19" s="2" t="s">
        <v>23</v>
      </c>
      <c r="B19" s="2" t="n">
        <f aca="false">SUM(B12:B18)</f>
        <v>247</v>
      </c>
      <c r="C19" s="2" t="n">
        <f aca="false">SUM(C12:C18)</f>
        <v>17605</v>
      </c>
      <c r="D19" s="2" t="n">
        <f aca="false">SUM(D12:D18)</f>
        <v>0</v>
      </c>
    </row>
    <row r="21" customFormat="false" ht="15" hidden="false" customHeight="false" outlineLevel="0" collapsed="false">
      <c r="A21" s="2" t="s">
        <v>24</v>
      </c>
      <c r="B21" s="3" t="n">
        <f aca="false">COUNTA(Spirits!A2:A49)</f>
        <v>48</v>
      </c>
    </row>
    <row r="22" customFormat="false" ht="15" hidden="false" customHeight="false" outlineLevel="0" collapsed="false">
      <c r="A22" s="2" t="s">
        <v>25</v>
      </c>
      <c r="B22" s="3" t="n">
        <f aca="false">COUNTIF(Spirits!C2:C49,"Yes")</f>
        <v>5</v>
      </c>
    </row>
    <row r="24" customFormat="false" ht="15" hidden="false" customHeight="false" outlineLevel="0" collapsed="false">
      <c r="A24" s="2" t="s">
        <v>26</v>
      </c>
    </row>
    <row r="25" customFormat="false" ht="15" hidden="false" customHeight="false" outlineLevel="0" collapsed="false">
      <c r="A25" s="5" t="s">
        <v>27</v>
      </c>
    </row>
    <row r="26" customFormat="false" ht="15" hidden="false" customHeight="false" outlineLevel="0" collapsed="false">
      <c r="A26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8" min="7" style="0" width="30"/>
    <col collapsed="false" customWidth="true" hidden="false" outlineLevel="0" max="9" min="9" style="0" width="60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9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16</v>
      </c>
      <c r="D2" s="7" t="s">
        <v>43</v>
      </c>
      <c r="E2" s="7" t="n">
        <v>35</v>
      </c>
      <c r="F2" s="8"/>
      <c r="G2" s="8"/>
      <c r="H2" s="8"/>
      <c r="I2" s="8" t="s">
        <v>44</v>
      </c>
      <c r="J2" s="7" t="s">
        <v>45</v>
      </c>
      <c r="K2" s="7" t="n">
        <v>10</v>
      </c>
      <c r="L2" s="9" t="s">
        <v>46</v>
      </c>
      <c r="M2" s="10"/>
    </row>
    <row r="3" customFormat="false" ht="15" hidden="false" customHeight="false" outlineLevel="0" collapsed="false">
      <c r="A3" s="7" t="s">
        <v>47</v>
      </c>
      <c r="B3" s="7" t="s">
        <v>48</v>
      </c>
      <c r="C3" s="7" t="s">
        <v>16</v>
      </c>
      <c r="D3" s="7" t="s">
        <v>43</v>
      </c>
      <c r="E3" s="7" t="n">
        <v>35</v>
      </c>
      <c r="F3" s="8" t="s">
        <v>42</v>
      </c>
      <c r="G3" s="8" t="s">
        <v>49</v>
      </c>
      <c r="H3" s="8" t="s">
        <v>50</v>
      </c>
      <c r="I3" s="8" t="s">
        <v>51</v>
      </c>
      <c r="J3" s="7" t="s">
        <v>45</v>
      </c>
      <c r="K3" s="7" t="n">
        <v>1</v>
      </c>
      <c r="L3" s="9" t="s">
        <v>46</v>
      </c>
      <c r="M3" s="10"/>
    </row>
    <row r="4" customFormat="false" ht="15" hidden="false" customHeight="false" outlineLevel="0" collapsed="false">
      <c r="A4" s="7" t="s">
        <v>52</v>
      </c>
      <c r="B4" s="7" t="s">
        <v>49</v>
      </c>
      <c r="C4" s="7" t="s">
        <v>16</v>
      </c>
      <c r="D4" s="7" t="s">
        <v>43</v>
      </c>
      <c r="E4" s="7" t="n">
        <v>35</v>
      </c>
      <c r="F4" s="8" t="s">
        <v>42</v>
      </c>
      <c r="G4" s="8" t="s">
        <v>48</v>
      </c>
      <c r="H4" s="8"/>
      <c r="I4" s="8" t="s">
        <v>53</v>
      </c>
      <c r="J4" s="7" t="s">
        <v>45</v>
      </c>
      <c r="K4" s="7" t="n">
        <v>3</v>
      </c>
      <c r="L4" s="9" t="s">
        <v>46</v>
      </c>
      <c r="M4" s="10"/>
    </row>
    <row r="5" customFormat="false" ht="15" hidden="false" customHeight="false" outlineLevel="0" collapsed="false">
      <c r="A5" s="7" t="s">
        <v>54</v>
      </c>
      <c r="B5" s="7" t="s">
        <v>55</v>
      </c>
      <c r="C5" s="7" t="s">
        <v>16</v>
      </c>
      <c r="D5" s="7" t="s">
        <v>43</v>
      </c>
      <c r="E5" s="7" t="n">
        <v>35</v>
      </c>
      <c r="F5" s="8" t="s">
        <v>42</v>
      </c>
      <c r="G5" s="8"/>
      <c r="H5" s="8"/>
      <c r="I5" s="8" t="s">
        <v>56</v>
      </c>
      <c r="J5" s="7" t="s">
        <v>45</v>
      </c>
      <c r="K5" s="7" t="n">
        <v>1</v>
      </c>
      <c r="L5" s="9" t="s">
        <v>46</v>
      </c>
      <c r="M5" s="10"/>
    </row>
    <row r="6" customFormat="false" ht="15" hidden="false" customHeight="false" outlineLevel="0" collapsed="false">
      <c r="A6" s="7" t="s">
        <v>57</v>
      </c>
      <c r="B6" s="7" t="s">
        <v>58</v>
      </c>
      <c r="C6" s="7" t="s">
        <v>16</v>
      </c>
      <c r="D6" s="7" t="s">
        <v>43</v>
      </c>
      <c r="E6" s="7" t="n">
        <v>70</v>
      </c>
      <c r="F6" s="8" t="s">
        <v>59</v>
      </c>
      <c r="G6" s="8"/>
      <c r="H6" s="8" t="s">
        <v>60</v>
      </c>
      <c r="I6" s="8" t="s">
        <v>61</v>
      </c>
      <c r="J6" s="7" t="s">
        <v>45</v>
      </c>
      <c r="K6" s="7" t="n">
        <v>5</v>
      </c>
      <c r="L6" s="9" t="s">
        <v>46</v>
      </c>
      <c r="M6" s="10"/>
    </row>
    <row r="7" customFormat="false" ht="15" hidden="false" customHeight="false" outlineLevel="0" collapsed="false">
      <c r="A7" s="7" t="s">
        <v>62</v>
      </c>
      <c r="B7" s="7" t="s">
        <v>63</v>
      </c>
      <c r="C7" s="7" t="s">
        <v>16</v>
      </c>
      <c r="D7" s="7" t="s">
        <v>43</v>
      </c>
      <c r="E7" s="7" t="n">
        <v>35</v>
      </c>
      <c r="F7" s="8" t="s">
        <v>58</v>
      </c>
      <c r="G7" s="8"/>
      <c r="H7" s="8"/>
      <c r="I7" s="8" t="s">
        <v>64</v>
      </c>
      <c r="J7" s="7" t="s">
        <v>45</v>
      </c>
      <c r="K7" s="7" t="n">
        <v>5</v>
      </c>
      <c r="L7" s="9" t="s">
        <v>46</v>
      </c>
      <c r="M7" s="10"/>
    </row>
    <row r="8" customFormat="false" ht="15" hidden="false" customHeight="false" outlineLevel="0" collapsed="false">
      <c r="A8" s="7" t="s">
        <v>65</v>
      </c>
      <c r="B8" s="7" t="s">
        <v>66</v>
      </c>
      <c r="C8" s="7" t="s">
        <v>16</v>
      </c>
      <c r="D8" s="7" t="s">
        <v>43</v>
      </c>
      <c r="E8" s="7" t="n">
        <v>35</v>
      </c>
      <c r="F8" s="8" t="s">
        <v>63</v>
      </c>
      <c r="G8" s="8" t="s">
        <v>67</v>
      </c>
      <c r="H8" s="8" t="s">
        <v>68</v>
      </c>
      <c r="I8" s="8" t="s">
        <v>69</v>
      </c>
      <c r="J8" s="7" t="s">
        <v>45</v>
      </c>
      <c r="K8" s="7" t="n">
        <v>5</v>
      </c>
      <c r="L8" s="9" t="s">
        <v>46</v>
      </c>
      <c r="M8" s="10"/>
    </row>
    <row r="9" customFormat="false" ht="15" hidden="false" customHeight="false" outlineLevel="0" collapsed="false">
      <c r="A9" s="7" t="s">
        <v>70</v>
      </c>
      <c r="B9" s="7" t="s">
        <v>67</v>
      </c>
      <c r="C9" s="7" t="s">
        <v>16</v>
      </c>
      <c r="D9" s="7" t="s">
        <v>43</v>
      </c>
      <c r="E9" s="7" t="n">
        <v>35</v>
      </c>
      <c r="F9" s="8" t="s">
        <v>63</v>
      </c>
      <c r="G9" s="8" t="s">
        <v>66</v>
      </c>
      <c r="H9" s="8" t="s">
        <v>71</v>
      </c>
      <c r="I9" s="8" t="s">
        <v>72</v>
      </c>
      <c r="J9" s="7" t="s">
        <v>45</v>
      </c>
      <c r="K9" s="7" t="n">
        <v>5</v>
      </c>
      <c r="L9" s="9" t="s">
        <v>46</v>
      </c>
      <c r="M9" s="10"/>
    </row>
    <row r="10" customFormat="false" ht="23.85" hidden="false" customHeight="false" outlineLevel="0" collapsed="false">
      <c r="A10" s="7" t="s">
        <v>73</v>
      </c>
      <c r="B10" s="7" t="s">
        <v>74</v>
      </c>
      <c r="C10" s="7" t="s">
        <v>16</v>
      </c>
      <c r="D10" s="7" t="s">
        <v>43</v>
      </c>
      <c r="E10" s="7" t="n">
        <v>70</v>
      </c>
      <c r="F10" s="8" t="s">
        <v>75</v>
      </c>
      <c r="G10" s="8"/>
      <c r="H10" s="8"/>
      <c r="I10" s="8" t="s">
        <v>76</v>
      </c>
      <c r="J10" s="7" t="s">
        <v>45</v>
      </c>
      <c r="K10" s="7" t="n">
        <v>1</v>
      </c>
      <c r="L10" s="9" t="s">
        <v>46</v>
      </c>
      <c r="M10" s="10"/>
    </row>
    <row r="11" customFormat="false" ht="15" hidden="false" customHeight="false" outlineLevel="0" collapsed="false">
      <c r="A11" s="7" t="s">
        <v>77</v>
      </c>
      <c r="B11" s="7" t="s">
        <v>78</v>
      </c>
      <c r="C11" s="7" t="s">
        <v>16</v>
      </c>
      <c r="D11" s="7" t="s">
        <v>43</v>
      </c>
      <c r="E11" s="7" t="n">
        <v>70</v>
      </c>
      <c r="F11" s="8" t="s">
        <v>58</v>
      </c>
      <c r="G11" s="8"/>
      <c r="H11" s="8" t="s">
        <v>79</v>
      </c>
      <c r="I11" s="8" t="s">
        <v>80</v>
      </c>
      <c r="J11" s="7" t="s">
        <v>45</v>
      </c>
      <c r="K11" s="7" t="n">
        <v>3</v>
      </c>
      <c r="L11" s="9" t="s">
        <v>46</v>
      </c>
      <c r="M11" s="10"/>
    </row>
    <row r="12" customFormat="false" ht="23.85" hidden="false" customHeight="false" outlineLevel="0" collapsed="false">
      <c r="A12" s="7" t="s">
        <v>81</v>
      </c>
      <c r="B12" s="7" t="s">
        <v>82</v>
      </c>
      <c r="C12" s="7" t="s">
        <v>16</v>
      </c>
      <c r="D12" s="7" t="s">
        <v>43</v>
      </c>
      <c r="E12" s="7" t="n">
        <v>35</v>
      </c>
      <c r="F12" s="8" t="s">
        <v>75</v>
      </c>
      <c r="G12" s="8"/>
      <c r="H12" s="8" t="s">
        <v>83</v>
      </c>
      <c r="I12" s="8" t="s">
        <v>84</v>
      </c>
      <c r="J12" s="7" t="s">
        <v>45</v>
      </c>
      <c r="K12" s="7" t="n">
        <v>1</v>
      </c>
      <c r="L12" s="9" t="s">
        <v>46</v>
      </c>
      <c r="M12" s="10"/>
    </row>
    <row r="13" customFormat="false" ht="15" hidden="false" customHeight="false" outlineLevel="0" collapsed="false">
      <c r="A13" s="7" t="s">
        <v>85</v>
      </c>
      <c r="B13" s="7" t="s">
        <v>86</v>
      </c>
      <c r="C13" s="7" t="s">
        <v>16</v>
      </c>
      <c r="D13" s="7" t="s">
        <v>43</v>
      </c>
      <c r="E13" s="7" t="n">
        <v>70</v>
      </c>
      <c r="F13" s="8" t="s">
        <v>82</v>
      </c>
      <c r="G13" s="8"/>
      <c r="H13" s="8" t="s">
        <v>87</v>
      </c>
      <c r="I13" s="8" t="s">
        <v>88</v>
      </c>
      <c r="J13" s="7" t="s">
        <v>45</v>
      </c>
      <c r="K13" s="7" t="n">
        <v>1</v>
      </c>
      <c r="L13" s="9" t="s">
        <v>46</v>
      </c>
      <c r="M13" s="10"/>
    </row>
    <row r="14" customFormat="false" ht="15" hidden="false" customHeight="false" outlineLevel="0" collapsed="false">
      <c r="A14" s="7" t="s">
        <v>89</v>
      </c>
      <c r="B14" s="7" t="s">
        <v>90</v>
      </c>
      <c r="C14" s="7" t="s">
        <v>16</v>
      </c>
      <c r="D14" s="7" t="s">
        <v>43</v>
      </c>
      <c r="E14" s="7" t="n">
        <v>70</v>
      </c>
      <c r="F14" s="8" t="s">
        <v>86</v>
      </c>
      <c r="G14" s="8"/>
      <c r="H14" s="8" t="s">
        <v>91</v>
      </c>
      <c r="I14" s="8" t="s">
        <v>92</v>
      </c>
      <c r="J14" s="7" t="s">
        <v>45</v>
      </c>
      <c r="K14" s="7" t="n">
        <v>1</v>
      </c>
      <c r="L14" s="9" t="s">
        <v>46</v>
      </c>
      <c r="M14" s="10"/>
    </row>
    <row r="15" customFormat="false" ht="15" hidden="false" customHeight="false" outlineLevel="0" collapsed="false">
      <c r="A15" s="7" t="s">
        <v>93</v>
      </c>
      <c r="B15" s="7" t="s">
        <v>94</v>
      </c>
      <c r="C15" s="7" t="s">
        <v>16</v>
      </c>
      <c r="D15" s="7" t="s">
        <v>43</v>
      </c>
      <c r="E15" s="7" t="n">
        <v>70</v>
      </c>
      <c r="F15" s="8" t="s">
        <v>90</v>
      </c>
      <c r="G15" s="8"/>
      <c r="H15" s="8" t="s">
        <v>95</v>
      </c>
      <c r="I15" s="8" t="s">
        <v>96</v>
      </c>
      <c r="J15" s="7" t="s">
        <v>45</v>
      </c>
      <c r="K15" s="7" t="n">
        <v>1</v>
      </c>
      <c r="L15" s="9" t="s">
        <v>46</v>
      </c>
      <c r="M15" s="10"/>
    </row>
    <row r="16" customFormat="false" ht="23.85" hidden="false" customHeight="false" outlineLevel="0" collapsed="false">
      <c r="A16" s="7" t="s">
        <v>97</v>
      </c>
      <c r="B16" s="7" t="s">
        <v>98</v>
      </c>
      <c r="C16" s="7" t="s">
        <v>16</v>
      </c>
      <c r="D16" s="7" t="s">
        <v>99</v>
      </c>
      <c r="E16" s="7" t="n">
        <v>35</v>
      </c>
      <c r="F16" s="8" t="s">
        <v>63</v>
      </c>
      <c r="G16" s="8"/>
      <c r="H16" s="8" t="s">
        <v>100</v>
      </c>
      <c r="I16" s="8" t="s">
        <v>101</v>
      </c>
      <c r="J16" s="7" t="s">
        <v>45</v>
      </c>
      <c r="K16" s="7" t="n">
        <v>5</v>
      </c>
      <c r="L16" s="9" t="s">
        <v>46</v>
      </c>
      <c r="M16" s="10"/>
    </row>
    <row r="17" customFormat="false" ht="15" hidden="false" customHeight="false" outlineLevel="0" collapsed="false">
      <c r="A17" s="7" t="s">
        <v>102</v>
      </c>
      <c r="B17" s="7" t="s">
        <v>103</v>
      </c>
      <c r="C17" s="7" t="s">
        <v>16</v>
      </c>
      <c r="D17" s="7" t="s">
        <v>99</v>
      </c>
      <c r="E17" s="7" t="n">
        <v>70</v>
      </c>
      <c r="F17" s="8" t="s">
        <v>98</v>
      </c>
      <c r="G17" s="8"/>
      <c r="H17" s="8" t="s">
        <v>100</v>
      </c>
      <c r="I17" s="8" t="s">
        <v>104</v>
      </c>
      <c r="J17" s="7" t="s">
        <v>45</v>
      </c>
      <c r="K17" s="7" t="n">
        <v>3</v>
      </c>
      <c r="L17" s="9" t="s">
        <v>46</v>
      </c>
      <c r="M17" s="10"/>
    </row>
    <row r="18" customFormat="false" ht="23.85" hidden="false" customHeight="false" outlineLevel="0" collapsed="false">
      <c r="A18" s="7" t="s">
        <v>105</v>
      </c>
      <c r="B18" s="7" t="s">
        <v>106</v>
      </c>
      <c r="C18" s="7" t="s">
        <v>16</v>
      </c>
      <c r="D18" s="7" t="s">
        <v>99</v>
      </c>
      <c r="E18" s="7" t="n">
        <v>70</v>
      </c>
      <c r="F18" s="8" t="s">
        <v>103</v>
      </c>
      <c r="G18" s="8"/>
      <c r="H18" s="8" t="s">
        <v>100</v>
      </c>
      <c r="I18" s="8" t="s">
        <v>107</v>
      </c>
      <c r="J18" s="7" t="s">
        <v>45</v>
      </c>
      <c r="K18" s="7" t="n">
        <v>1</v>
      </c>
      <c r="L18" s="9" t="s">
        <v>46</v>
      </c>
      <c r="M18" s="10"/>
    </row>
    <row r="19" customFormat="false" ht="23.85" hidden="false" customHeight="false" outlineLevel="0" collapsed="false">
      <c r="A19" s="7" t="s">
        <v>108</v>
      </c>
      <c r="B19" s="7" t="s">
        <v>109</v>
      </c>
      <c r="C19" s="7" t="s">
        <v>16</v>
      </c>
      <c r="D19" s="7" t="s">
        <v>99</v>
      </c>
      <c r="E19" s="7" t="n">
        <v>70</v>
      </c>
      <c r="F19" s="8" t="s">
        <v>106</v>
      </c>
      <c r="G19" s="8"/>
      <c r="H19" s="8" t="s">
        <v>110</v>
      </c>
      <c r="I19" s="8" t="s">
        <v>111</v>
      </c>
      <c r="J19" s="7" t="s">
        <v>45</v>
      </c>
      <c r="K19" s="7" t="n">
        <v>1</v>
      </c>
      <c r="L19" s="9" t="s">
        <v>46</v>
      </c>
      <c r="M19" s="10"/>
    </row>
    <row r="20" customFormat="false" ht="15" hidden="false" customHeight="false" outlineLevel="0" collapsed="false">
      <c r="A20" s="7" t="s">
        <v>112</v>
      </c>
      <c r="B20" s="7" t="s">
        <v>113</v>
      </c>
      <c r="C20" s="7" t="s">
        <v>16</v>
      </c>
      <c r="D20" s="7" t="s">
        <v>99</v>
      </c>
      <c r="E20" s="7" t="n">
        <v>70</v>
      </c>
      <c r="F20" s="8" t="s">
        <v>109</v>
      </c>
      <c r="G20" s="8" t="s">
        <v>114</v>
      </c>
      <c r="H20" s="8" t="s">
        <v>100</v>
      </c>
      <c r="I20" s="8" t="s">
        <v>115</v>
      </c>
      <c r="J20" s="7" t="s">
        <v>45</v>
      </c>
      <c r="K20" s="7" t="n">
        <v>3</v>
      </c>
      <c r="L20" s="9" t="s">
        <v>46</v>
      </c>
      <c r="M20" s="10"/>
    </row>
    <row r="21" customFormat="false" ht="23.85" hidden="false" customHeight="false" outlineLevel="0" collapsed="false">
      <c r="A21" s="7" t="s">
        <v>116</v>
      </c>
      <c r="B21" s="7" t="s">
        <v>114</v>
      </c>
      <c r="C21" s="7" t="s">
        <v>16</v>
      </c>
      <c r="D21" s="7" t="s">
        <v>99</v>
      </c>
      <c r="E21" s="7" t="n">
        <v>70</v>
      </c>
      <c r="F21" s="8" t="s">
        <v>109</v>
      </c>
      <c r="G21" s="8" t="s">
        <v>113</v>
      </c>
      <c r="H21" s="8" t="s">
        <v>100</v>
      </c>
      <c r="I21" s="8" t="s">
        <v>117</v>
      </c>
      <c r="J21" s="7" t="s">
        <v>45</v>
      </c>
      <c r="K21" s="7" t="n">
        <v>1</v>
      </c>
      <c r="L21" s="9" t="s">
        <v>46</v>
      </c>
      <c r="M21" s="10"/>
    </row>
    <row r="22" customFormat="false" ht="23.85" hidden="false" customHeight="false" outlineLevel="0" collapsed="false">
      <c r="A22" s="7" t="s">
        <v>118</v>
      </c>
      <c r="B22" s="7" t="s">
        <v>119</v>
      </c>
      <c r="C22" s="7" t="s">
        <v>16</v>
      </c>
      <c r="D22" s="7" t="s">
        <v>99</v>
      </c>
      <c r="E22" s="7" t="n">
        <v>70</v>
      </c>
      <c r="F22" s="8" t="s">
        <v>114</v>
      </c>
      <c r="G22" s="8"/>
      <c r="H22" s="8" t="s">
        <v>120</v>
      </c>
      <c r="I22" s="8" t="s">
        <v>121</v>
      </c>
      <c r="J22" s="7" t="s">
        <v>45</v>
      </c>
      <c r="K22" s="7" t="n">
        <v>1</v>
      </c>
      <c r="L22" s="9" t="s">
        <v>46</v>
      </c>
      <c r="M22" s="10"/>
    </row>
    <row r="23" customFormat="false" ht="23.85" hidden="false" customHeight="false" outlineLevel="0" collapsed="false">
      <c r="A23" s="7" t="s">
        <v>122</v>
      </c>
      <c r="B23" s="7" t="s">
        <v>123</v>
      </c>
      <c r="C23" s="7" t="s">
        <v>16</v>
      </c>
      <c r="D23" s="7" t="s">
        <v>99</v>
      </c>
      <c r="E23" s="7" t="n">
        <v>70</v>
      </c>
      <c r="F23" s="8" t="s">
        <v>119</v>
      </c>
      <c r="G23" s="8"/>
      <c r="H23" s="8" t="s">
        <v>124</v>
      </c>
      <c r="I23" s="8" t="s">
        <v>125</v>
      </c>
      <c r="J23" s="7" t="s">
        <v>45</v>
      </c>
      <c r="K23" s="7" t="n">
        <v>0</v>
      </c>
      <c r="L23" s="9" t="s">
        <v>46</v>
      </c>
      <c r="M23" s="10"/>
    </row>
    <row r="24" customFormat="false" ht="15" hidden="false" customHeight="false" outlineLevel="0" collapsed="false">
      <c r="A24" s="7" t="s">
        <v>126</v>
      </c>
      <c r="B24" s="7" t="s">
        <v>127</v>
      </c>
      <c r="C24" s="7" t="s">
        <v>16</v>
      </c>
      <c r="D24" s="7" t="s">
        <v>99</v>
      </c>
      <c r="E24" s="7" t="n">
        <v>70</v>
      </c>
      <c r="F24" s="8" t="s">
        <v>103</v>
      </c>
      <c r="G24" s="8"/>
      <c r="H24" s="8" t="s">
        <v>100</v>
      </c>
      <c r="I24" s="8" t="s">
        <v>128</v>
      </c>
      <c r="J24" s="7" t="s">
        <v>45</v>
      </c>
      <c r="K24" s="7" t="n">
        <v>3</v>
      </c>
      <c r="L24" s="9" t="s">
        <v>46</v>
      </c>
      <c r="M24" s="10"/>
    </row>
    <row r="25" customFormat="false" ht="15" hidden="false" customHeight="false" outlineLevel="0" collapsed="false">
      <c r="A25" s="7" t="s">
        <v>129</v>
      </c>
      <c r="B25" s="7" t="s">
        <v>130</v>
      </c>
      <c r="C25" s="7" t="s">
        <v>16</v>
      </c>
      <c r="D25" s="7" t="s">
        <v>131</v>
      </c>
      <c r="E25" s="7" t="n">
        <v>70</v>
      </c>
      <c r="F25" s="8" t="s">
        <v>63</v>
      </c>
      <c r="G25" s="8"/>
      <c r="H25" s="8" t="s">
        <v>132</v>
      </c>
      <c r="I25" s="8" t="s">
        <v>133</v>
      </c>
      <c r="J25" s="7" t="s">
        <v>45</v>
      </c>
      <c r="K25" s="7" t="n">
        <v>5</v>
      </c>
      <c r="L25" s="9" t="s">
        <v>46</v>
      </c>
      <c r="M25" s="10"/>
    </row>
    <row r="26" customFormat="false" ht="15" hidden="false" customHeight="false" outlineLevel="0" collapsed="false">
      <c r="A26" s="7" t="s">
        <v>134</v>
      </c>
      <c r="B26" s="7" t="s">
        <v>135</v>
      </c>
      <c r="C26" s="7" t="s">
        <v>16</v>
      </c>
      <c r="D26" s="7" t="s">
        <v>131</v>
      </c>
      <c r="E26" s="7" t="n">
        <v>70</v>
      </c>
      <c r="F26" s="8" t="s">
        <v>130</v>
      </c>
      <c r="G26" s="8"/>
      <c r="H26" s="8" t="s">
        <v>132</v>
      </c>
      <c r="I26" s="8" t="s">
        <v>136</v>
      </c>
      <c r="J26" s="7" t="s">
        <v>45</v>
      </c>
      <c r="K26" s="7" t="n">
        <v>1</v>
      </c>
      <c r="L26" s="9" t="s">
        <v>46</v>
      </c>
      <c r="M26" s="10"/>
    </row>
    <row r="27" customFormat="false" ht="15" hidden="false" customHeight="false" outlineLevel="0" collapsed="false">
      <c r="A27" s="7" t="s">
        <v>137</v>
      </c>
      <c r="B27" s="7" t="s">
        <v>138</v>
      </c>
      <c r="C27" s="7" t="s">
        <v>16</v>
      </c>
      <c r="D27" s="7" t="s">
        <v>131</v>
      </c>
      <c r="E27" s="7" t="n">
        <v>70</v>
      </c>
      <c r="F27" s="8" t="s">
        <v>130</v>
      </c>
      <c r="G27" s="8"/>
      <c r="H27" s="8" t="s">
        <v>132</v>
      </c>
      <c r="I27" s="8" t="s">
        <v>139</v>
      </c>
      <c r="J27" s="7" t="s">
        <v>45</v>
      </c>
      <c r="K27" s="7" t="n">
        <v>3</v>
      </c>
      <c r="L27" s="9" t="s">
        <v>46</v>
      </c>
      <c r="M27" s="10"/>
    </row>
    <row r="28" customFormat="false" ht="15" hidden="false" customHeight="false" outlineLevel="0" collapsed="false">
      <c r="A28" s="7" t="s">
        <v>140</v>
      </c>
      <c r="B28" s="7" t="s">
        <v>141</v>
      </c>
      <c r="C28" s="7" t="s">
        <v>16</v>
      </c>
      <c r="D28" s="7" t="s">
        <v>131</v>
      </c>
      <c r="E28" s="7" t="n">
        <v>35</v>
      </c>
      <c r="F28" s="8" t="s">
        <v>130</v>
      </c>
      <c r="G28" s="8"/>
      <c r="H28" s="8" t="s">
        <v>132</v>
      </c>
      <c r="I28" s="8" t="s">
        <v>142</v>
      </c>
      <c r="J28" s="7" t="s">
        <v>45</v>
      </c>
      <c r="K28" s="7" t="n">
        <v>3</v>
      </c>
      <c r="L28" s="9" t="s">
        <v>46</v>
      </c>
      <c r="M28" s="10"/>
    </row>
    <row r="29" customFormat="false" ht="15" hidden="false" customHeight="false" outlineLevel="0" collapsed="false">
      <c r="A29" s="7" t="s">
        <v>143</v>
      </c>
      <c r="B29" s="7" t="s">
        <v>144</v>
      </c>
      <c r="C29" s="7" t="s">
        <v>16</v>
      </c>
      <c r="D29" s="7" t="s">
        <v>131</v>
      </c>
      <c r="E29" s="7" t="n">
        <v>70</v>
      </c>
      <c r="F29" s="8" t="s">
        <v>141</v>
      </c>
      <c r="G29" s="8"/>
      <c r="H29" s="8" t="s">
        <v>132</v>
      </c>
      <c r="I29" s="8" t="s">
        <v>145</v>
      </c>
      <c r="J29" s="7" t="s">
        <v>45</v>
      </c>
      <c r="K29" s="7" t="n">
        <v>1</v>
      </c>
      <c r="L29" s="9" t="s">
        <v>46</v>
      </c>
      <c r="M29" s="10"/>
    </row>
    <row r="30" customFormat="false" ht="15" hidden="false" customHeight="false" outlineLevel="0" collapsed="false">
      <c r="A30" s="7" t="s">
        <v>146</v>
      </c>
      <c r="B30" s="7" t="s">
        <v>147</v>
      </c>
      <c r="C30" s="7" t="s">
        <v>16</v>
      </c>
      <c r="D30" s="7" t="s">
        <v>131</v>
      </c>
      <c r="E30" s="7" t="n">
        <v>70</v>
      </c>
      <c r="F30" s="8" t="s">
        <v>144</v>
      </c>
      <c r="G30" s="8"/>
      <c r="H30" s="8" t="s">
        <v>132</v>
      </c>
      <c r="I30" s="8" t="s">
        <v>148</v>
      </c>
      <c r="J30" s="7" t="s">
        <v>45</v>
      </c>
      <c r="K30" s="7" t="n">
        <v>1</v>
      </c>
      <c r="L30" s="9" t="s">
        <v>46</v>
      </c>
      <c r="M30" s="10"/>
    </row>
    <row r="31" customFormat="false" ht="23.85" hidden="false" customHeight="false" outlineLevel="0" collapsed="false">
      <c r="A31" s="7" t="s">
        <v>149</v>
      </c>
      <c r="B31" s="7" t="s">
        <v>150</v>
      </c>
      <c r="C31" s="7" t="s">
        <v>16</v>
      </c>
      <c r="D31" s="7" t="s">
        <v>131</v>
      </c>
      <c r="E31" s="7" t="n">
        <v>70</v>
      </c>
      <c r="F31" s="8" t="s">
        <v>147</v>
      </c>
      <c r="G31" s="8"/>
      <c r="H31" s="8" t="s">
        <v>132</v>
      </c>
      <c r="I31" s="8" t="s">
        <v>151</v>
      </c>
      <c r="J31" s="7" t="s">
        <v>45</v>
      </c>
      <c r="K31" s="7" t="n">
        <v>1</v>
      </c>
      <c r="L31" s="9" t="s">
        <v>46</v>
      </c>
      <c r="M31" s="10"/>
    </row>
    <row r="32" customFormat="false" ht="15" hidden="false" customHeight="false" outlineLevel="0" collapsed="false">
      <c r="A32" s="7" t="s">
        <v>152</v>
      </c>
      <c r="B32" s="7" t="s">
        <v>153</v>
      </c>
      <c r="C32" s="7" t="s">
        <v>16</v>
      </c>
      <c r="D32" s="7" t="s">
        <v>131</v>
      </c>
      <c r="E32" s="7" t="n">
        <v>70</v>
      </c>
      <c r="F32" s="8" t="s">
        <v>150</v>
      </c>
      <c r="G32" s="8"/>
      <c r="H32" s="8" t="s">
        <v>132</v>
      </c>
      <c r="I32" s="8" t="s">
        <v>154</v>
      </c>
      <c r="J32" s="7" t="s">
        <v>45</v>
      </c>
      <c r="K32" s="7" t="n">
        <v>3</v>
      </c>
      <c r="L32" s="9" t="s">
        <v>46</v>
      </c>
      <c r="M32" s="10"/>
    </row>
    <row r="33" customFormat="false" ht="15" hidden="false" customHeight="false" outlineLevel="0" collapsed="false">
      <c r="A33" s="7" t="s">
        <v>155</v>
      </c>
      <c r="B33" s="7" t="s">
        <v>156</v>
      </c>
      <c r="C33" s="7" t="s">
        <v>16</v>
      </c>
      <c r="D33" s="7" t="s">
        <v>131</v>
      </c>
      <c r="E33" s="7" t="n">
        <v>70</v>
      </c>
      <c r="F33" s="8" t="s">
        <v>138</v>
      </c>
      <c r="G33" s="8"/>
      <c r="H33" s="8" t="s">
        <v>132</v>
      </c>
      <c r="I33" s="8" t="s">
        <v>157</v>
      </c>
      <c r="J33" s="7" t="s">
        <v>45</v>
      </c>
      <c r="K33" s="7" t="n">
        <v>3</v>
      </c>
      <c r="L33" s="9" t="s">
        <v>46</v>
      </c>
      <c r="M33" s="10"/>
    </row>
    <row r="34" customFormat="false" ht="15" hidden="false" customHeight="false" outlineLevel="0" collapsed="false">
      <c r="A34" s="7" t="s">
        <v>158</v>
      </c>
      <c r="B34" s="7" t="s">
        <v>159</v>
      </c>
      <c r="C34" s="7" t="s">
        <v>16</v>
      </c>
      <c r="D34" s="7" t="s">
        <v>160</v>
      </c>
      <c r="E34" s="7" t="n">
        <v>35</v>
      </c>
      <c r="F34" s="8" t="s">
        <v>63</v>
      </c>
      <c r="G34" s="8"/>
      <c r="H34" s="8" t="s">
        <v>161</v>
      </c>
      <c r="I34" s="8" t="s">
        <v>162</v>
      </c>
      <c r="J34" s="7" t="s">
        <v>45</v>
      </c>
      <c r="K34" s="7" t="n">
        <v>5</v>
      </c>
      <c r="L34" s="9" t="s">
        <v>46</v>
      </c>
      <c r="M34" s="10"/>
    </row>
    <row r="35" customFormat="false" ht="15" hidden="false" customHeight="false" outlineLevel="0" collapsed="false">
      <c r="A35" s="7" t="s">
        <v>163</v>
      </c>
      <c r="B35" s="7" t="s">
        <v>164</v>
      </c>
      <c r="C35" s="7" t="s">
        <v>16</v>
      </c>
      <c r="D35" s="7" t="s">
        <v>160</v>
      </c>
      <c r="E35" s="7" t="n">
        <v>70</v>
      </c>
      <c r="F35" s="8" t="s">
        <v>159</v>
      </c>
      <c r="G35" s="8"/>
      <c r="H35" s="8" t="s">
        <v>161</v>
      </c>
      <c r="I35" s="8" t="s">
        <v>165</v>
      </c>
      <c r="J35" s="7" t="s">
        <v>45</v>
      </c>
      <c r="K35" s="7" t="n">
        <v>1</v>
      </c>
      <c r="L35" s="9" t="s">
        <v>46</v>
      </c>
      <c r="M35" s="10"/>
    </row>
    <row r="36" customFormat="false" ht="15" hidden="false" customHeight="false" outlineLevel="0" collapsed="false">
      <c r="A36" s="7" t="s">
        <v>166</v>
      </c>
      <c r="B36" s="7" t="s">
        <v>167</v>
      </c>
      <c r="C36" s="7" t="s">
        <v>16</v>
      </c>
      <c r="D36" s="7" t="s">
        <v>160</v>
      </c>
      <c r="E36" s="7" t="n">
        <v>70</v>
      </c>
      <c r="F36" s="8" t="s">
        <v>164</v>
      </c>
      <c r="G36" s="8"/>
      <c r="H36" s="8" t="s">
        <v>161</v>
      </c>
      <c r="I36" s="8" t="s">
        <v>168</v>
      </c>
      <c r="J36" s="7" t="s">
        <v>45</v>
      </c>
      <c r="K36" s="7" t="n">
        <v>1</v>
      </c>
      <c r="L36" s="9" t="s">
        <v>46</v>
      </c>
      <c r="M36" s="10"/>
    </row>
    <row r="37" customFormat="false" ht="15" hidden="false" customHeight="false" outlineLevel="0" collapsed="false">
      <c r="A37" s="7" t="s">
        <v>169</v>
      </c>
      <c r="B37" s="7" t="s">
        <v>170</v>
      </c>
      <c r="C37" s="7" t="s">
        <v>16</v>
      </c>
      <c r="D37" s="7" t="s">
        <v>160</v>
      </c>
      <c r="E37" s="7" t="n">
        <v>70</v>
      </c>
      <c r="F37" s="8" t="s">
        <v>167</v>
      </c>
      <c r="G37" s="8"/>
      <c r="H37" s="8" t="s">
        <v>161</v>
      </c>
      <c r="I37" s="8" t="s">
        <v>171</v>
      </c>
      <c r="J37" s="7" t="s">
        <v>45</v>
      </c>
      <c r="K37" s="7" t="n">
        <v>1</v>
      </c>
      <c r="L37" s="9" t="s">
        <v>46</v>
      </c>
      <c r="M37" s="10"/>
    </row>
    <row r="38" customFormat="false" ht="15" hidden="false" customHeight="false" outlineLevel="0" collapsed="false">
      <c r="A38" s="7" t="s">
        <v>172</v>
      </c>
      <c r="B38" s="7" t="s">
        <v>173</v>
      </c>
      <c r="C38" s="7" t="s">
        <v>16</v>
      </c>
      <c r="D38" s="7" t="s">
        <v>160</v>
      </c>
      <c r="E38" s="7" t="n">
        <v>70</v>
      </c>
      <c r="F38" s="8" t="s">
        <v>159</v>
      </c>
      <c r="G38" s="8"/>
      <c r="H38" s="8" t="s">
        <v>161</v>
      </c>
      <c r="I38" s="8" t="s">
        <v>174</v>
      </c>
      <c r="J38" s="7" t="s">
        <v>45</v>
      </c>
      <c r="K38" s="7" t="n">
        <v>1</v>
      </c>
      <c r="L38" s="9" t="s">
        <v>46</v>
      </c>
      <c r="M38" s="10"/>
    </row>
    <row r="39" customFormat="false" ht="15" hidden="false" customHeight="false" outlineLevel="0" collapsed="false">
      <c r="A39" s="7" t="s">
        <v>175</v>
      </c>
      <c r="B39" s="7" t="s">
        <v>176</v>
      </c>
      <c r="C39" s="7" t="s">
        <v>16</v>
      </c>
      <c r="D39" s="7" t="s">
        <v>160</v>
      </c>
      <c r="E39" s="7" t="n">
        <v>70</v>
      </c>
      <c r="F39" s="8" t="s">
        <v>164</v>
      </c>
      <c r="G39" s="8"/>
      <c r="H39" s="8" t="s">
        <v>161</v>
      </c>
      <c r="I39" s="8" t="s">
        <v>177</v>
      </c>
      <c r="J39" s="7" t="s">
        <v>45</v>
      </c>
      <c r="K39" s="7" t="n">
        <v>1</v>
      </c>
      <c r="L39" s="9" t="s">
        <v>46</v>
      </c>
      <c r="M39" s="10"/>
    </row>
    <row r="40" customFormat="false" ht="15" hidden="false" customHeight="false" outlineLevel="0" collapsed="false">
      <c r="A40" s="7" t="s">
        <v>178</v>
      </c>
      <c r="B40" s="7" t="s">
        <v>179</v>
      </c>
      <c r="C40" s="7" t="s">
        <v>16</v>
      </c>
      <c r="D40" s="7" t="s">
        <v>160</v>
      </c>
      <c r="E40" s="7" t="n">
        <v>70</v>
      </c>
      <c r="F40" s="8" t="s">
        <v>159</v>
      </c>
      <c r="G40" s="8"/>
      <c r="H40" s="8" t="s">
        <v>161</v>
      </c>
      <c r="I40" s="8" t="s">
        <v>180</v>
      </c>
      <c r="J40" s="7" t="s">
        <v>45</v>
      </c>
      <c r="K40" s="7" t="n">
        <v>1</v>
      </c>
      <c r="L40" s="9" t="s">
        <v>46</v>
      </c>
      <c r="M40" s="10"/>
    </row>
    <row r="41" customFormat="false" ht="23.85" hidden="false" customHeight="false" outlineLevel="0" collapsed="false">
      <c r="A41" s="7" t="s">
        <v>181</v>
      </c>
      <c r="B41" s="7" t="s">
        <v>182</v>
      </c>
      <c r="C41" s="7" t="s">
        <v>16</v>
      </c>
      <c r="D41" s="7" t="s">
        <v>160</v>
      </c>
      <c r="E41" s="7" t="n">
        <v>70</v>
      </c>
      <c r="F41" s="8" t="s">
        <v>179</v>
      </c>
      <c r="G41" s="8"/>
      <c r="H41" s="8" t="s">
        <v>161</v>
      </c>
      <c r="I41" s="8" t="s">
        <v>183</v>
      </c>
      <c r="J41" s="7" t="s">
        <v>45</v>
      </c>
      <c r="K41" s="7" t="n">
        <v>1</v>
      </c>
      <c r="L41" s="9" t="s">
        <v>46</v>
      </c>
      <c r="M41" s="10"/>
    </row>
    <row r="42" customFormat="false" ht="15" hidden="false" customHeight="false" outlineLevel="0" collapsed="false">
      <c r="A42" s="7" t="s">
        <v>184</v>
      </c>
      <c r="B42" s="7" t="s">
        <v>185</v>
      </c>
      <c r="C42" s="7" t="s">
        <v>16</v>
      </c>
      <c r="D42" s="7" t="s">
        <v>160</v>
      </c>
      <c r="E42" s="7" t="n">
        <v>70</v>
      </c>
      <c r="F42" s="8" t="s">
        <v>179</v>
      </c>
      <c r="G42" s="8"/>
      <c r="H42" s="8" t="s">
        <v>161</v>
      </c>
      <c r="I42" s="8" t="s">
        <v>186</v>
      </c>
      <c r="J42" s="7" t="s">
        <v>45</v>
      </c>
      <c r="K42" s="7" t="n">
        <v>1</v>
      </c>
      <c r="L42" s="9" t="s">
        <v>46</v>
      </c>
      <c r="M42" s="10"/>
    </row>
    <row r="43" customFormat="false" ht="15" hidden="false" customHeight="false" outlineLevel="0" collapsed="false">
      <c r="A43" s="7" t="s">
        <v>187</v>
      </c>
      <c r="B43" s="7" t="s">
        <v>188</v>
      </c>
      <c r="C43" s="7" t="s">
        <v>17</v>
      </c>
      <c r="D43" s="7" t="s">
        <v>189</v>
      </c>
      <c r="E43" s="7" t="n">
        <v>70</v>
      </c>
      <c r="F43" s="8" t="s">
        <v>58</v>
      </c>
      <c r="G43" s="8"/>
      <c r="H43" s="8"/>
      <c r="I43" s="8" t="s">
        <v>190</v>
      </c>
      <c r="J43" s="7" t="s">
        <v>45</v>
      </c>
      <c r="K43" s="7" t="n">
        <v>3</v>
      </c>
      <c r="L43" s="9" t="s">
        <v>46</v>
      </c>
      <c r="M43" s="10"/>
    </row>
    <row r="44" customFormat="false" ht="15" hidden="false" customHeight="false" outlineLevel="0" collapsed="false">
      <c r="A44" s="7" t="s">
        <v>191</v>
      </c>
      <c r="B44" s="7" t="s">
        <v>192</v>
      </c>
      <c r="C44" s="7" t="s">
        <v>17</v>
      </c>
      <c r="D44" s="7" t="s">
        <v>189</v>
      </c>
      <c r="E44" s="7" t="n">
        <v>35</v>
      </c>
      <c r="F44" s="8" t="s">
        <v>188</v>
      </c>
      <c r="G44" s="8"/>
      <c r="H44" s="8"/>
      <c r="I44" s="8" t="s">
        <v>193</v>
      </c>
      <c r="J44" s="7" t="s">
        <v>45</v>
      </c>
      <c r="K44" s="7" t="n">
        <v>1</v>
      </c>
      <c r="L44" s="9" t="s">
        <v>46</v>
      </c>
      <c r="M44" s="10"/>
    </row>
    <row r="45" customFormat="false" ht="15" hidden="false" customHeight="false" outlineLevel="0" collapsed="false">
      <c r="A45" s="7" t="s">
        <v>194</v>
      </c>
      <c r="B45" s="7" t="s">
        <v>195</v>
      </c>
      <c r="C45" s="7" t="s">
        <v>17</v>
      </c>
      <c r="D45" s="7" t="s">
        <v>189</v>
      </c>
      <c r="E45" s="7" t="n">
        <v>70</v>
      </c>
      <c r="F45" s="8" t="s">
        <v>192</v>
      </c>
      <c r="G45" s="8"/>
      <c r="H45" s="8"/>
      <c r="I45" s="8" t="s">
        <v>174</v>
      </c>
      <c r="J45" s="7" t="s">
        <v>45</v>
      </c>
      <c r="K45" s="7" t="n">
        <v>1</v>
      </c>
      <c r="L45" s="9" t="s">
        <v>46</v>
      </c>
      <c r="M45" s="10"/>
    </row>
    <row r="46" customFormat="false" ht="15" hidden="false" customHeight="false" outlineLevel="0" collapsed="false">
      <c r="A46" s="7" t="s">
        <v>196</v>
      </c>
      <c r="B46" s="7" t="s">
        <v>197</v>
      </c>
      <c r="C46" s="7" t="s">
        <v>17</v>
      </c>
      <c r="D46" s="7" t="s">
        <v>189</v>
      </c>
      <c r="E46" s="7" t="n">
        <v>70</v>
      </c>
      <c r="F46" s="8" t="s">
        <v>195</v>
      </c>
      <c r="G46" s="8"/>
      <c r="H46" s="8"/>
      <c r="I46" s="8" t="s">
        <v>198</v>
      </c>
      <c r="J46" s="7" t="s">
        <v>45</v>
      </c>
      <c r="K46" s="7" t="n">
        <v>1</v>
      </c>
      <c r="L46" s="9" t="s">
        <v>46</v>
      </c>
      <c r="M46" s="10"/>
    </row>
    <row r="47" customFormat="false" ht="15" hidden="false" customHeight="false" outlineLevel="0" collapsed="false">
      <c r="A47" s="7" t="s">
        <v>199</v>
      </c>
      <c r="B47" s="7" t="s">
        <v>200</v>
      </c>
      <c r="C47" s="7" t="s">
        <v>17</v>
      </c>
      <c r="D47" s="7" t="s">
        <v>189</v>
      </c>
      <c r="E47" s="7" t="n">
        <v>70</v>
      </c>
      <c r="F47" s="8" t="s">
        <v>197</v>
      </c>
      <c r="G47" s="8"/>
      <c r="H47" s="8"/>
      <c r="I47" s="8" t="s">
        <v>53</v>
      </c>
      <c r="J47" s="7" t="s">
        <v>45</v>
      </c>
      <c r="K47" s="7" t="n">
        <v>1</v>
      </c>
      <c r="L47" s="9" t="s">
        <v>46</v>
      </c>
      <c r="M47" s="10"/>
    </row>
    <row r="48" customFormat="false" ht="15" hidden="false" customHeight="false" outlineLevel="0" collapsed="false">
      <c r="A48" s="7" t="s">
        <v>201</v>
      </c>
      <c r="B48" s="7" t="s">
        <v>202</v>
      </c>
      <c r="C48" s="7" t="s">
        <v>17</v>
      </c>
      <c r="D48" s="7" t="s">
        <v>189</v>
      </c>
      <c r="E48" s="7" t="n">
        <v>70</v>
      </c>
      <c r="F48" s="8" t="s">
        <v>200</v>
      </c>
      <c r="G48" s="8" t="s">
        <v>203</v>
      </c>
      <c r="H48" s="8"/>
      <c r="I48" s="8" t="s">
        <v>204</v>
      </c>
      <c r="J48" s="7" t="s">
        <v>45</v>
      </c>
      <c r="K48" s="7" t="n">
        <v>1</v>
      </c>
      <c r="L48" s="9" t="s">
        <v>46</v>
      </c>
      <c r="M48" s="10"/>
    </row>
    <row r="49" customFormat="false" ht="15" hidden="false" customHeight="false" outlineLevel="0" collapsed="false">
      <c r="A49" s="7" t="s">
        <v>205</v>
      </c>
      <c r="B49" s="7" t="s">
        <v>203</v>
      </c>
      <c r="C49" s="7" t="s">
        <v>17</v>
      </c>
      <c r="D49" s="7" t="s">
        <v>189</v>
      </c>
      <c r="E49" s="7" t="n">
        <v>70</v>
      </c>
      <c r="F49" s="8" t="s">
        <v>200</v>
      </c>
      <c r="G49" s="8" t="s">
        <v>202</v>
      </c>
      <c r="H49" s="8"/>
      <c r="I49" s="8" t="s">
        <v>206</v>
      </c>
      <c r="J49" s="7" t="s">
        <v>45</v>
      </c>
      <c r="K49" s="7" t="n">
        <v>3</v>
      </c>
      <c r="L49" s="9" t="s">
        <v>46</v>
      </c>
      <c r="M49" s="10"/>
    </row>
    <row r="50" customFormat="false" ht="15" hidden="false" customHeight="false" outlineLevel="0" collapsed="false">
      <c r="A50" s="7" t="s">
        <v>207</v>
      </c>
      <c r="B50" s="7" t="s">
        <v>208</v>
      </c>
      <c r="C50" s="7" t="s">
        <v>17</v>
      </c>
      <c r="D50" s="7" t="s">
        <v>209</v>
      </c>
      <c r="E50" s="7" t="n">
        <v>70</v>
      </c>
      <c r="F50" s="8" t="s">
        <v>188</v>
      </c>
      <c r="G50" s="8"/>
      <c r="H50" s="8"/>
      <c r="I50" s="8" t="s">
        <v>174</v>
      </c>
      <c r="J50" s="7" t="s">
        <v>45</v>
      </c>
      <c r="K50" s="7" t="n">
        <v>1</v>
      </c>
      <c r="L50" s="9" t="s">
        <v>46</v>
      </c>
      <c r="M50" s="10"/>
    </row>
    <row r="51" customFormat="false" ht="15" hidden="false" customHeight="false" outlineLevel="0" collapsed="false">
      <c r="A51" s="7" t="s">
        <v>210</v>
      </c>
      <c r="B51" s="7" t="s">
        <v>211</v>
      </c>
      <c r="C51" s="7" t="s">
        <v>17</v>
      </c>
      <c r="D51" s="7" t="s">
        <v>209</v>
      </c>
      <c r="E51" s="7" t="n">
        <v>70</v>
      </c>
      <c r="F51" s="8" t="s">
        <v>208</v>
      </c>
      <c r="G51" s="8"/>
      <c r="H51" s="8"/>
      <c r="I51" s="8" t="s">
        <v>212</v>
      </c>
      <c r="J51" s="7" t="s">
        <v>45</v>
      </c>
      <c r="K51" s="7" t="n">
        <v>1</v>
      </c>
      <c r="L51" s="9" t="s">
        <v>46</v>
      </c>
      <c r="M51" s="10"/>
    </row>
    <row r="52" customFormat="false" ht="15" hidden="false" customHeight="false" outlineLevel="0" collapsed="false">
      <c r="A52" s="7" t="s">
        <v>213</v>
      </c>
      <c r="B52" s="7" t="s">
        <v>214</v>
      </c>
      <c r="C52" s="7" t="s">
        <v>17</v>
      </c>
      <c r="D52" s="7" t="s">
        <v>209</v>
      </c>
      <c r="E52" s="7" t="n">
        <v>70</v>
      </c>
      <c r="F52" s="8" t="s">
        <v>211</v>
      </c>
      <c r="G52" s="8"/>
      <c r="H52" s="8" t="s">
        <v>215</v>
      </c>
      <c r="I52" s="8" t="s">
        <v>128</v>
      </c>
      <c r="J52" s="7" t="s">
        <v>45</v>
      </c>
      <c r="K52" s="7" t="n">
        <v>1</v>
      </c>
      <c r="L52" s="9" t="s">
        <v>46</v>
      </c>
      <c r="M52" s="10"/>
    </row>
    <row r="53" customFormat="false" ht="15" hidden="false" customHeight="false" outlineLevel="0" collapsed="false">
      <c r="A53" s="7" t="s">
        <v>216</v>
      </c>
      <c r="B53" s="7" t="s">
        <v>217</v>
      </c>
      <c r="C53" s="7" t="s">
        <v>17</v>
      </c>
      <c r="D53" s="7" t="s">
        <v>209</v>
      </c>
      <c r="E53" s="7" t="n">
        <v>70</v>
      </c>
      <c r="F53" s="8" t="s">
        <v>208</v>
      </c>
      <c r="G53" s="8"/>
      <c r="H53" s="8"/>
      <c r="I53" s="8" t="s">
        <v>218</v>
      </c>
      <c r="J53" s="7" t="s">
        <v>45</v>
      </c>
      <c r="K53" s="7" t="n">
        <v>1</v>
      </c>
      <c r="L53" s="9" t="s">
        <v>46</v>
      </c>
      <c r="M53" s="10"/>
    </row>
    <row r="54" customFormat="false" ht="15" hidden="false" customHeight="false" outlineLevel="0" collapsed="false">
      <c r="A54" s="7" t="s">
        <v>219</v>
      </c>
      <c r="B54" s="7" t="s">
        <v>220</v>
      </c>
      <c r="C54" s="7" t="s">
        <v>17</v>
      </c>
      <c r="D54" s="7" t="s">
        <v>209</v>
      </c>
      <c r="E54" s="7" t="n">
        <v>70</v>
      </c>
      <c r="F54" s="8" t="s">
        <v>217</v>
      </c>
      <c r="G54" s="8"/>
      <c r="H54" s="8"/>
      <c r="I54" s="8" t="s">
        <v>174</v>
      </c>
      <c r="J54" s="7" t="s">
        <v>45</v>
      </c>
      <c r="K54" s="7" t="n">
        <v>1</v>
      </c>
      <c r="L54" s="9" t="s">
        <v>46</v>
      </c>
      <c r="M54" s="10"/>
    </row>
    <row r="55" customFormat="false" ht="15" hidden="false" customHeight="false" outlineLevel="0" collapsed="false">
      <c r="A55" s="7" t="s">
        <v>221</v>
      </c>
      <c r="B55" s="7" t="s">
        <v>222</v>
      </c>
      <c r="C55" s="7" t="s">
        <v>17</v>
      </c>
      <c r="D55" s="7" t="s">
        <v>209</v>
      </c>
      <c r="E55" s="7" t="n">
        <v>70</v>
      </c>
      <c r="F55" s="8" t="s">
        <v>214</v>
      </c>
      <c r="G55" s="8"/>
      <c r="H55" s="8"/>
      <c r="I55" s="8" t="s">
        <v>136</v>
      </c>
      <c r="J55" s="7" t="s">
        <v>45</v>
      </c>
      <c r="K55" s="7" t="n">
        <v>1</v>
      </c>
      <c r="L55" s="9" t="s">
        <v>46</v>
      </c>
      <c r="M55" s="10"/>
    </row>
    <row r="56" customFormat="false" ht="15" hidden="false" customHeight="false" outlineLevel="0" collapsed="false">
      <c r="A56" s="7" t="s">
        <v>223</v>
      </c>
      <c r="B56" s="7" t="s">
        <v>224</v>
      </c>
      <c r="C56" s="7" t="s">
        <v>17</v>
      </c>
      <c r="D56" s="7" t="s">
        <v>225</v>
      </c>
      <c r="E56" s="7" t="n">
        <v>70</v>
      </c>
      <c r="F56" s="8" t="s">
        <v>188</v>
      </c>
      <c r="G56" s="8"/>
      <c r="H56" s="8"/>
      <c r="I56" s="8" t="s">
        <v>133</v>
      </c>
      <c r="J56" s="7" t="s">
        <v>45</v>
      </c>
      <c r="K56" s="7" t="n">
        <v>1</v>
      </c>
      <c r="L56" s="9" t="s">
        <v>46</v>
      </c>
      <c r="M56" s="10"/>
    </row>
    <row r="57" customFormat="false" ht="15" hidden="false" customHeight="false" outlineLevel="0" collapsed="false">
      <c r="A57" s="7" t="s">
        <v>226</v>
      </c>
      <c r="B57" s="7" t="s">
        <v>227</v>
      </c>
      <c r="C57" s="7" t="s">
        <v>17</v>
      </c>
      <c r="D57" s="7" t="s">
        <v>225</v>
      </c>
      <c r="E57" s="7" t="n">
        <v>70</v>
      </c>
      <c r="F57" s="8" t="s">
        <v>224</v>
      </c>
      <c r="G57" s="8"/>
      <c r="H57" s="8" t="s">
        <v>215</v>
      </c>
      <c r="I57" s="8" t="s">
        <v>171</v>
      </c>
      <c r="J57" s="7" t="s">
        <v>45</v>
      </c>
      <c r="K57" s="7" t="n">
        <v>1</v>
      </c>
      <c r="L57" s="9" t="s">
        <v>46</v>
      </c>
      <c r="M57" s="10"/>
    </row>
    <row r="58" customFormat="false" ht="23.85" hidden="false" customHeight="false" outlineLevel="0" collapsed="false">
      <c r="A58" s="7" t="s">
        <v>228</v>
      </c>
      <c r="B58" s="7" t="s">
        <v>229</v>
      </c>
      <c r="C58" s="7" t="s">
        <v>17</v>
      </c>
      <c r="D58" s="7" t="s">
        <v>225</v>
      </c>
      <c r="E58" s="7" t="n">
        <v>70</v>
      </c>
      <c r="F58" s="8" t="s">
        <v>227</v>
      </c>
      <c r="G58" s="8"/>
      <c r="H58" s="8" t="s">
        <v>230</v>
      </c>
      <c r="I58" s="8" t="s">
        <v>128</v>
      </c>
      <c r="J58" s="7" t="s">
        <v>45</v>
      </c>
      <c r="K58" s="7" t="n">
        <v>1</v>
      </c>
      <c r="L58" s="9" t="s">
        <v>46</v>
      </c>
      <c r="M58" s="10"/>
    </row>
    <row r="59" customFormat="false" ht="15" hidden="false" customHeight="false" outlineLevel="0" collapsed="false">
      <c r="A59" s="7" t="s">
        <v>231</v>
      </c>
      <c r="B59" s="7" t="s">
        <v>232</v>
      </c>
      <c r="C59" s="7" t="s">
        <v>17</v>
      </c>
      <c r="D59" s="7" t="s">
        <v>225</v>
      </c>
      <c r="E59" s="7" t="n">
        <v>70</v>
      </c>
      <c r="F59" s="8" t="s">
        <v>229</v>
      </c>
      <c r="G59" s="8"/>
      <c r="H59" s="8" t="s">
        <v>233</v>
      </c>
      <c r="I59" s="8" t="s">
        <v>234</v>
      </c>
      <c r="J59" s="7" t="s">
        <v>45</v>
      </c>
      <c r="K59" s="7" t="n">
        <v>1</v>
      </c>
      <c r="L59" s="9" t="s">
        <v>46</v>
      </c>
      <c r="M59" s="10"/>
    </row>
    <row r="60" customFormat="false" ht="15" hidden="false" customHeight="false" outlineLevel="0" collapsed="false">
      <c r="A60" s="7" t="s">
        <v>235</v>
      </c>
      <c r="B60" s="7" t="s">
        <v>236</v>
      </c>
      <c r="C60" s="7" t="s">
        <v>17</v>
      </c>
      <c r="D60" s="7" t="s">
        <v>225</v>
      </c>
      <c r="E60" s="7" t="n">
        <v>35</v>
      </c>
      <c r="F60" s="8" t="s">
        <v>224</v>
      </c>
      <c r="G60" s="8"/>
      <c r="H60" s="8"/>
      <c r="I60" s="8" t="s">
        <v>237</v>
      </c>
      <c r="J60" s="7" t="s">
        <v>45</v>
      </c>
      <c r="K60" s="7" t="n">
        <v>1</v>
      </c>
      <c r="L60" s="9" t="s">
        <v>46</v>
      </c>
      <c r="M60" s="10"/>
    </row>
    <row r="61" customFormat="false" ht="15" hidden="false" customHeight="false" outlineLevel="0" collapsed="false">
      <c r="A61" s="7" t="s">
        <v>238</v>
      </c>
      <c r="B61" s="7" t="s">
        <v>239</v>
      </c>
      <c r="C61" s="7" t="s">
        <v>17</v>
      </c>
      <c r="D61" s="7" t="s">
        <v>225</v>
      </c>
      <c r="E61" s="7" t="n">
        <v>70</v>
      </c>
      <c r="F61" s="8" t="s">
        <v>236</v>
      </c>
      <c r="G61" s="8"/>
      <c r="H61" s="8"/>
      <c r="I61" s="8" t="s">
        <v>240</v>
      </c>
      <c r="J61" s="7" t="s">
        <v>45</v>
      </c>
      <c r="K61" s="7" t="n">
        <v>1</v>
      </c>
      <c r="L61" s="9" t="s">
        <v>46</v>
      </c>
      <c r="M61" s="10"/>
    </row>
    <row r="62" customFormat="false" ht="15" hidden="false" customHeight="false" outlineLevel="0" collapsed="false">
      <c r="A62" s="7" t="s">
        <v>241</v>
      </c>
      <c r="B62" s="7" t="s">
        <v>242</v>
      </c>
      <c r="C62" s="7" t="s">
        <v>17</v>
      </c>
      <c r="D62" s="7" t="s">
        <v>225</v>
      </c>
      <c r="E62" s="7" t="n">
        <v>70</v>
      </c>
      <c r="F62" s="8" t="s">
        <v>239</v>
      </c>
      <c r="G62" s="8"/>
      <c r="H62" s="8"/>
      <c r="I62" s="8" t="s">
        <v>243</v>
      </c>
      <c r="J62" s="7" t="s">
        <v>45</v>
      </c>
      <c r="K62" s="7" t="n">
        <v>1</v>
      </c>
      <c r="L62" s="9" t="s">
        <v>46</v>
      </c>
      <c r="M62" s="10"/>
    </row>
    <row r="63" customFormat="false" ht="15" hidden="false" customHeight="false" outlineLevel="0" collapsed="false">
      <c r="A63" s="7" t="s">
        <v>244</v>
      </c>
      <c r="B63" s="7" t="s">
        <v>245</v>
      </c>
      <c r="C63" s="7" t="s">
        <v>17</v>
      </c>
      <c r="D63" s="7" t="s">
        <v>246</v>
      </c>
      <c r="E63" s="7" t="n">
        <v>35</v>
      </c>
      <c r="F63" s="8" t="s">
        <v>188</v>
      </c>
      <c r="G63" s="8"/>
      <c r="H63" s="8"/>
      <c r="I63" s="8" t="s">
        <v>198</v>
      </c>
      <c r="J63" s="7" t="s">
        <v>45</v>
      </c>
      <c r="K63" s="7" t="n">
        <v>1</v>
      </c>
      <c r="L63" s="9" t="s">
        <v>46</v>
      </c>
      <c r="M63" s="10"/>
    </row>
    <row r="64" customFormat="false" ht="15" hidden="false" customHeight="false" outlineLevel="0" collapsed="false">
      <c r="A64" s="7" t="s">
        <v>247</v>
      </c>
      <c r="B64" s="7" t="s">
        <v>248</v>
      </c>
      <c r="C64" s="7" t="s">
        <v>17</v>
      </c>
      <c r="D64" s="7" t="s">
        <v>246</v>
      </c>
      <c r="E64" s="7" t="n">
        <v>70</v>
      </c>
      <c r="F64" s="8" t="s">
        <v>245</v>
      </c>
      <c r="G64" s="8"/>
      <c r="H64" s="8"/>
      <c r="I64" s="8" t="s">
        <v>249</v>
      </c>
      <c r="J64" s="7" t="s">
        <v>45</v>
      </c>
      <c r="K64" s="7" t="n">
        <v>1</v>
      </c>
      <c r="L64" s="9" t="s">
        <v>46</v>
      </c>
      <c r="M64" s="10"/>
    </row>
    <row r="65" customFormat="false" ht="15" hidden="false" customHeight="false" outlineLevel="0" collapsed="false">
      <c r="A65" s="7" t="s">
        <v>250</v>
      </c>
      <c r="B65" s="7" t="s">
        <v>251</v>
      </c>
      <c r="C65" s="7" t="s">
        <v>17</v>
      </c>
      <c r="D65" s="7" t="s">
        <v>246</v>
      </c>
      <c r="E65" s="7" t="n">
        <v>70</v>
      </c>
      <c r="F65" s="8" t="s">
        <v>248</v>
      </c>
      <c r="G65" s="8"/>
      <c r="H65" s="8"/>
      <c r="I65" s="8" t="s">
        <v>252</v>
      </c>
      <c r="J65" s="7" t="s">
        <v>45</v>
      </c>
      <c r="K65" s="7" t="n">
        <v>1</v>
      </c>
      <c r="L65" s="9" t="s">
        <v>46</v>
      </c>
      <c r="M65" s="10"/>
    </row>
    <row r="66" customFormat="false" ht="15" hidden="false" customHeight="false" outlineLevel="0" collapsed="false">
      <c r="A66" s="7" t="s">
        <v>253</v>
      </c>
      <c r="B66" s="7" t="s">
        <v>254</v>
      </c>
      <c r="C66" s="7" t="s">
        <v>17</v>
      </c>
      <c r="D66" s="7" t="s">
        <v>246</v>
      </c>
      <c r="E66" s="7" t="n">
        <v>70</v>
      </c>
      <c r="F66" s="8" t="s">
        <v>248</v>
      </c>
      <c r="G66" s="8"/>
      <c r="H66" s="8"/>
      <c r="I66" s="8" t="s">
        <v>255</v>
      </c>
      <c r="J66" s="7" t="s">
        <v>45</v>
      </c>
      <c r="K66" s="7" t="n">
        <v>1</v>
      </c>
      <c r="L66" s="9" t="s">
        <v>46</v>
      </c>
      <c r="M66" s="10"/>
    </row>
    <row r="67" customFormat="false" ht="15" hidden="false" customHeight="false" outlineLevel="0" collapsed="false">
      <c r="A67" s="7" t="s">
        <v>256</v>
      </c>
      <c r="B67" s="7" t="s">
        <v>257</v>
      </c>
      <c r="C67" s="7" t="s">
        <v>17</v>
      </c>
      <c r="D67" s="7" t="s">
        <v>246</v>
      </c>
      <c r="E67" s="7" t="n">
        <v>70</v>
      </c>
      <c r="F67" s="8" t="s">
        <v>254</v>
      </c>
      <c r="G67" s="8"/>
      <c r="H67" s="8"/>
      <c r="I67" s="8" t="s">
        <v>258</v>
      </c>
      <c r="J67" s="7" t="s">
        <v>45</v>
      </c>
      <c r="K67" s="7" t="n">
        <v>1</v>
      </c>
      <c r="L67" s="9" t="s">
        <v>46</v>
      </c>
      <c r="M67" s="10"/>
    </row>
    <row r="68" customFormat="false" ht="15" hidden="false" customHeight="false" outlineLevel="0" collapsed="false">
      <c r="A68" s="7" t="s">
        <v>259</v>
      </c>
      <c r="B68" s="7" t="s">
        <v>260</v>
      </c>
      <c r="C68" s="7" t="s">
        <v>17</v>
      </c>
      <c r="D68" s="7" t="s">
        <v>261</v>
      </c>
      <c r="E68" s="7" t="n">
        <v>70</v>
      </c>
      <c r="F68" s="8" t="s">
        <v>251</v>
      </c>
      <c r="G68" s="8"/>
      <c r="H68" s="8"/>
      <c r="I68" s="8" t="s">
        <v>262</v>
      </c>
      <c r="J68" s="7" t="s">
        <v>45</v>
      </c>
      <c r="K68" s="7" t="n">
        <v>1</v>
      </c>
      <c r="L68" s="9" t="s">
        <v>46</v>
      </c>
      <c r="M68" s="10"/>
    </row>
    <row r="69" customFormat="false" ht="15" hidden="false" customHeight="false" outlineLevel="0" collapsed="false">
      <c r="A69" s="7" t="s">
        <v>263</v>
      </c>
      <c r="B69" s="7" t="s">
        <v>264</v>
      </c>
      <c r="C69" s="7" t="s">
        <v>17</v>
      </c>
      <c r="D69" s="7" t="s">
        <v>261</v>
      </c>
      <c r="E69" s="7" t="n">
        <v>70</v>
      </c>
      <c r="F69" s="8" t="s">
        <v>260</v>
      </c>
      <c r="G69" s="8"/>
      <c r="H69" s="8"/>
      <c r="I69" s="8" t="s">
        <v>265</v>
      </c>
      <c r="J69" s="7" t="s">
        <v>45</v>
      </c>
      <c r="K69" s="7" t="n">
        <v>1</v>
      </c>
      <c r="L69" s="9" t="s">
        <v>46</v>
      </c>
      <c r="M69" s="10"/>
    </row>
    <row r="70" customFormat="false" ht="15" hidden="false" customHeight="false" outlineLevel="0" collapsed="false">
      <c r="A70" s="7" t="s">
        <v>266</v>
      </c>
      <c r="B70" s="7" t="s">
        <v>267</v>
      </c>
      <c r="C70" s="7" t="s">
        <v>17</v>
      </c>
      <c r="D70" s="7" t="s">
        <v>261</v>
      </c>
      <c r="E70" s="7" t="n">
        <v>70</v>
      </c>
      <c r="F70" s="8" t="s">
        <v>264</v>
      </c>
      <c r="G70" s="8" t="s">
        <v>268</v>
      </c>
      <c r="H70" s="8"/>
      <c r="I70" s="8" t="s">
        <v>269</v>
      </c>
      <c r="J70" s="7" t="s">
        <v>45</v>
      </c>
      <c r="K70" s="7" t="n">
        <v>3</v>
      </c>
      <c r="L70" s="9" t="s">
        <v>46</v>
      </c>
      <c r="M70" s="10"/>
    </row>
    <row r="71" customFormat="false" ht="15" hidden="false" customHeight="false" outlineLevel="0" collapsed="false">
      <c r="A71" s="7" t="s">
        <v>270</v>
      </c>
      <c r="B71" s="7" t="s">
        <v>268</v>
      </c>
      <c r="C71" s="7" t="s">
        <v>17</v>
      </c>
      <c r="D71" s="7" t="s">
        <v>261</v>
      </c>
      <c r="E71" s="7" t="n">
        <v>70</v>
      </c>
      <c r="F71" s="8" t="s">
        <v>264</v>
      </c>
      <c r="G71" s="8" t="s">
        <v>267</v>
      </c>
      <c r="H71" s="8"/>
      <c r="I71" s="8" t="s">
        <v>271</v>
      </c>
      <c r="J71" s="7" t="s">
        <v>45</v>
      </c>
      <c r="K71" s="7" t="n">
        <v>1</v>
      </c>
      <c r="L71" s="9" t="s">
        <v>46</v>
      </c>
      <c r="M71" s="10"/>
    </row>
    <row r="72" customFormat="false" ht="35.05" hidden="false" customHeight="false" outlineLevel="0" collapsed="false">
      <c r="A72" s="7" t="s">
        <v>272</v>
      </c>
      <c r="B72" s="7" t="s">
        <v>273</v>
      </c>
      <c r="C72" s="7" t="s">
        <v>17</v>
      </c>
      <c r="D72" s="7" t="s">
        <v>261</v>
      </c>
      <c r="E72" s="7" t="n">
        <v>105</v>
      </c>
      <c r="F72" s="8" t="s">
        <v>274</v>
      </c>
      <c r="G72" s="8"/>
      <c r="H72" s="8"/>
      <c r="I72" s="8" t="s">
        <v>275</v>
      </c>
      <c r="J72" s="7" t="s">
        <v>45</v>
      </c>
      <c r="K72" s="7" t="n">
        <v>5</v>
      </c>
      <c r="L72" s="9" t="s">
        <v>46</v>
      </c>
      <c r="M72" s="10"/>
    </row>
    <row r="73" customFormat="false" ht="15" hidden="false" customHeight="false" outlineLevel="0" collapsed="false">
      <c r="A73" s="7" t="s">
        <v>276</v>
      </c>
      <c r="B73" s="7" t="s">
        <v>277</v>
      </c>
      <c r="C73" s="7" t="s">
        <v>18</v>
      </c>
      <c r="D73" s="7" t="s">
        <v>278</v>
      </c>
      <c r="E73" s="7" t="n">
        <v>70</v>
      </c>
      <c r="F73" s="8"/>
      <c r="G73" s="8"/>
      <c r="H73" s="8"/>
      <c r="I73" s="8" t="s">
        <v>279</v>
      </c>
      <c r="J73" s="7" t="s">
        <v>45</v>
      </c>
      <c r="K73" s="7" t="n">
        <v>5</v>
      </c>
      <c r="L73" s="9" t="s">
        <v>46</v>
      </c>
      <c r="M73" s="10"/>
    </row>
    <row r="74" customFormat="false" ht="23.85" hidden="false" customHeight="false" outlineLevel="0" collapsed="false">
      <c r="A74" s="7" t="s">
        <v>280</v>
      </c>
      <c r="B74" s="7" t="s">
        <v>281</v>
      </c>
      <c r="C74" s="7" t="s">
        <v>18</v>
      </c>
      <c r="D74" s="7" t="s">
        <v>278</v>
      </c>
      <c r="E74" s="7" t="n">
        <v>70</v>
      </c>
      <c r="F74" s="8" t="s">
        <v>282</v>
      </c>
      <c r="G74" s="8"/>
      <c r="H74" s="8"/>
      <c r="I74" s="8" t="s">
        <v>283</v>
      </c>
      <c r="J74" s="7" t="s">
        <v>45</v>
      </c>
      <c r="K74" s="7" t="n">
        <v>5</v>
      </c>
      <c r="L74" s="9" t="s">
        <v>46</v>
      </c>
      <c r="M74" s="10"/>
    </row>
    <row r="75" customFormat="false" ht="23.85" hidden="false" customHeight="false" outlineLevel="0" collapsed="false">
      <c r="A75" s="7" t="s">
        <v>284</v>
      </c>
      <c r="B75" s="7" t="s">
        <v>285</v>
      </c>
      <c r="C75" s="7" t="s">
        <v>18</v>
      </c>
      <c r="D75" s="7" t="s">
        <v>278</v>
      </c>
      <c r="E75" s="7" t="n">
        <v>70</v>
      </c>
      <c r="F75" s="8" t="s">
        <v>281</v>
      </c>
      <c r="G75" s="8"/>
      <c r="H75" s="8"/>
      <c r="I75" s="8" t="s">
        <v>286</v>
      </c>
      <c r="J75" s="7" t="s">
        <v>45</v>
      </c>
      <c r="K75" s="7" t="n">
        <v>5</v>
      </c>
      <c r="L75" s="9" t="s">
        <v>46</v>
      </c>
      <c r="M75" s="10"/>
    </row>
    <row r="76" customFormat="false" ht="15" hidden="false" customHeight="false" outlineLevel="0" collapsed="false">
      <c r="A76" s="7" t="s">
        <v>287</v>
      </c>
      <c r="B76" s="7" t="s">
        <v>288</v>
      </c>
      <c r="C76" s="7" t="s">
        <v>18</v>
      </c>
      <c r="D76" s="7" t="s">
        <v>278</v>
      </c>
      <c r="E76" s="7" t="n">
        <v>35</v>
      </c>
      <c r="F76" s="8" t="s">
        <v>277</v>
      </c>
      <c r="G76" s="8"/>
      <c r="H76" s="8"/>
      <c r="I76" s="8" t="s">
        <v>289</v>
      </c>
      <c r="J76" s="7" t="s">
        <v>45</v>
      </c>
      <c r="K76" s="7" t="n">
        <v>3</v>
      </c>
      <c r="L76" s="9" t="s">
        <v>46</v>
      </c>
      <c r="M76" s="10"/>
    </row>
    <row r="77" customFormat="false" ht="15" hidden="false" customHeight="false" outlineLevel="0" collapsed="false">
      <c r="A77" s="7" t="s">
        <v>290</v>
      </c>
      <c r="B77" s="7" t="s">
        <v>291</v>
      </c>
      <c r="C77" s="7" t="s">
        <v>18</v>
      </c>
      <c r="D77" s="7" t="s">
        <v>278</v>
      </c>
      <c r="E77" s="7" t="n">
        <v>70</v>
      </c>
      <c r="F77" s="8" t="s">
        <v>285</v>
      </c>
      <c r="G77" s="8"/>
      <c r="H77" s="8"/>
      <c r="I77" s="8" t="s">
        <v>292</v>
      </c>
      <c r="J77" s="7" t="s">
        <v>45</v>
      </c>
      <c r="K77" s="7" t="n">
        <v>1</v>
      </c>
      <c r="L77" s="9" t="s">
        <v>46</v>
      </c>
      <c r="M77" s="10"/>
    </row>
    <row r="78" customFormat="false" ht="15" hidden="false" customHeight="false" outlineLevel="0" collapsed="false">
      <c r="A78" s="7" t="s">
        <v>293</v>
      </c>
      <c r="B78" s="7" t="s">
        <v>294</v>
      </c>
      <c r="C78" s="7" t="s">
        <v>18</v>
      </c>
      <c r="D78" s="7" t="s">
        <v>278</v>
      </c>
      <c r="E78" s="7" t="n">
        <v>70</v>
      </c>
      <c r="F78" s="8" t="s">
        <v>291</v>
      </c>
      <c r="G78" s="8"/>
      <c r="H78" s="8"/>
      <c r="I78" s="8" t="s">
        <v>295</v>
      </c>
      <c r="J78" s="7" t="s">
        <v>45</v>
      </c>
      <c r="K78" s="7" t="n">
        <v>1</v>
      </c>
      <c r="L78" s="9" t="s">
        <v>46</v>
      </c>
      <c r="M78" s="10"/>
    </row>
    <row r="79" customFormat="false" ht="23.85" hidden="false" customHeight="false" outlineLevel="0" collapsed="false">
      <c r="A79" s="7" t="s">
        <v>296</v>
      </c>
      <c r="B79" s="7" t="s">
        <v>297</v>
      </c>
      <c r="C79" s="7" t="s">
        <v>18</v>
      </c>
      <c r="D79" s="7" t="s">
        <v>278</v>
      </c>
      <c r="E79" s="7" t="n">
        <v>105</v>
      </c>
      <c r="F79" s="8" t="s">
        <v>291</v>
      </c>
      <c r="G79" s="8"/>
      <c r="H79" s="8"/>
      <c r="I79" s="8" t="s">
        <v>298</v>
      </c>
      <c r="J79" s="7" t="s">
        <v>45</v>
      </c>
      <c r="K79" s="7" t="n">
        <v>1</v>
      </c>
      <c r="L79" s="9" t="s">
        <v>46</v>
      </c>
      <c r="M79" s="10"/>
    </row>
    <row r="80" customFormat="false" ht="15" hidden="false" customHeight="false" outlineLevel="0" collapsed="false">
      <c r="A80" s="7" t="s">
        <v>299</v>
      </c>
      <c r="B80" s="7" t="s">
        <v>300</v>
      </c>
      <c r="C80" s="7" t="s">
        <v>18</v>
      </c>
      <c r="D80" s="7" t="s">
        <v>301</v>
      </c>
      <c r="E80" s="7" t="n">
        <v>70</v>
      </c>
      <c r="F80" s="8" t="s">
        <v>277</v>
      </c>
      <c r="G80" s="8"/>
      <c r="H80" s="8"/>
      <c r="I80" s="8" t="s">
        <v>302</v>
      </c>
      <c r="J80" s="7" t="s">
        <v>45</v>
      </c>
      <c r="K80" s="7" t="n">
        <v>5</v>
      </c>
      <c r="L80" s="9" t="s">
        <v>46</v>
      </c>
      <c r="M80" s="10"/>
    </row>
    <row r="81" customFormat="false" ht="15" hidden="false" customHeight="false" outlineLevel="0" collapsed="false">
      <c r="A81" s="7" t="s">
        <v>303</v>
      </c>
      <c r="B81" s="7" t="s">
        <v>304</v>
      </c>
      <c r="C81" s="7" t="s">
        <v>18</v>
      </c>
      <c r="D81" s="7" t="s">
        <v>301</v>
      </c>
      <c r="E81" s="7" t="n">
        <v>35</v>
      </c>
      <c r="F81" s="8" t="s">
        <v>300</v>
      </c>
      <c r="G81" s="8"/>
      <c r="H81" s="8"/>
      <c r="I81" s="8" t="s">
        <v>305</v>
      </c>
      <c r="J81" s="7" t="s">
        <v>45</v>
      </c>
      <c r="K81" s="7" t="n">
        <v>5</v>
      </c>
      <c r="L81" s="9" t="s">
        <v>46</v>
      </c>
      <c r="M81" s="10"/>
    </row>
    <row r="82" customFormat="false" ht="15" hidden="false" customHeight="false" outlineLevel="0" collapsed="false">
      <c r="A82" s="7" t="s">
        <v>306</v>
      </c>
      <c r="B82" s="7" t="s">
        <v>307</v>
      </c>
      <c r="C82" s="7" t="s">
        <v>18</v>
      </c>
      <c r="D82" s="7" t="s">
        <v>301</v>
      </c>
      <c r="E82" s="7" t="n">
        <v>70</v>
      </c>
      <c r="F82" s="8" t="s">
        <v>304</v>
      </c>
      <c r="G82" s="8"/>
      <c r="H82" s="8"/>
      <c r="I82" s="8" t="s">
        <v>308</v>
      </c>
      <c r="J82" s="7" t="s">
        <v>45</v>
      </c>
      <c r="K82" s="7" t="n">
        <v>3</v>
      </c>
      <c r="L82" s="9" t="s">
        <v>46</v>
      </c>
      <c r="M82" s="10"/>
    </row>
    <row r="83" customFormat="false" ht="15" hidden="false" customHeight="false" outlineLevel="0" collapsed="false">
      <c r="A83" s="7" t="s">
        <v>309</v>
      </c>
      <c r="B83" s="7" t="s">
        <v>310</v>
      </c>
      <c r="C83" s="7" t="s">
        <v>18</v>
      </c>
      <c r="D83" s="7" t="s">
        <v>301</v>
      </c>
      <c r="E83" s="7" t="n">
        <v>70</v>
      </c>
      <c r="F83" s="8" t="s">
        <v>307</v>
      </c>
      <c r="G83" s="8"/>
      <c r="H83" s="8"/>
      <c r="I83" s="8" t="s">
        <v>311</v>
      </c>
      <c r="J83" s="7" t="s">
        <v>45</v>
      </c>
      <c r="K83" s="7" t="n">
        <v>1</v>
      </c>
      <c r="L83" s="9" t="s">
        <v>46</v>
      </c>
      <c r="M83" s="10"/>
    </row>
    <row r="84" customFormat="false" ht="15" hidden="false" customHeight="false" outlineLevel="0" collapsed="false">
      <c r="A84" s="7" t="s">
        <v>312</v>
      </c>
      <c r="B84" s="7" t="s">
        <v>313</v>
      </c>
      <c r="C84" s="7" t="s">
        <v>18</v>
      </c>
      <c r="D84" s="7" t="s">
        <v>301</v>
      </c>
      <c r="E84" s="7" t="n">
        <v>105</v>
      </c>
      <c r="F84" s="8" t="s">
        <v>310</v>
      </c>
      <c r="G84" s="8"/>
      <c r="H84" s="8"/>
      <c r="I84" s="8" t="s">
        <v>314</v>
      </c>
      <c r="J84" s="7" t="s">
        <v>45</v>
      </c>
      <c r="K84" s="7" t="n">
        <v>1</v>
      </c>
      <c r="L84" s="9" t="s">
        <v>46</v>
      </c>
      <c r="M84" s="10"/>
    </row>
    <row r="85" customFormat="false" ht="23.85" hidden="false" customHeight="false" outlineLevel="0" collapsed="false">
      <c r="A85" s="7" t="s">
        <v>315</v>
      </c>
      <c r="B85" s="7" t="s">
        <v>316</v>
      </c>
      <c r="C85" s="7" t="s">
        <v>18</v>
      </c>
      <c r="D85" s="7" t="s">
        <v>301</v>
      </c>
      <c r="E85" s="7" t="n">
        <v>105</v>
      </c>
      <c r="F85" s="8" t="s">
        <v>310</v>
      </c>
      <c r="G85" s="8"/>
      <c r="H85" s="8" t="s">
        <v>215</v>
      </c>
      <c r="I85" s="8" t="s">
        <v>317</v>
      </c>
      <c r="J85" s="7" t="s">
        <v>45</v>
      </c>
      <c r="K85" s="7" t="n">
        <v>1</v>
      </c>
      <c r="L85" s="9" t="s">
        <v>46</v>
      </c>
      <c r="M85" s="10"/>
    </row>
    <row r="86" customFormat="false" ht="23.85" hidden="false" customHeight="false" outlineLevel="0" collapsed="false">
      <c r="A86" s="7" t="s">
        <v>318</v>
      </c>
      <c r="B86" s="7" t="s">
        <v>319</v>
      </c>
      <c r="C86" s="7" t="s">
        <v>18</v>
      </c>
      <c r="D86" s="7" t="s">
        <v>301</v>
      </c>
      <c r="E86" s="7" t="n">
        <v>140</v>
      </c>
      <c r="F86" s="8" t="s">
        <v>316</v>
      </c>
      <c r="G86" s="8"/>
      <c r="H86" s="8"/>
      <c r="I86" s="8" t="s">
        <v>320</v>
      </c>
      <c r="J86" s="7" t="s">
        <v>45</v>
      </c>
      <c r="K86" s="7" t="n">
        <v>0</v>
      </c>
      <c r="L86" s="9" t="s">
        <v>46</v>
      </c>
      <c r="M86" s="10"/>
    </row>
    <row r="87" customFormat="false" ht="15" hidden="false" customHeight="false" outlineLevel="0" collapsed="false">
      <c r="A87" s="7" t="s">
        <v>321</v>
      </c>
      <c r="B87" s="7" t="s">
        <v>322</v>
      </c>
      <c r="C87" s="7" t="s">
        <v>18</v>
      </c>
      <c r="D87" s="7" t="s">
        <v>301</v>
      </c>
      <c r="E87" s="7" t="n">
        <v>70</v>
      </c>
      <c r="F87" s="8" t="s">
        <v>310</v>
      </c>
      <c r="G87" s="8"/>
      <c r="H87" s="8"/>
      <c r="I87" s="8" t="s">
        <v>323</v>
      </c>
      <c r="J87" s="7" t="s">
        <v>45</v>
      </c>
      <c r="K87" s="7" t="n">
        <v>1</v>
      </c>
      <c r="L87" s="9" t="s">
        <v>46</v>
      </c>
      <c r="M87" s="10"/>
    </row>
    <row r="88" customFormat="false" ht="23.85" hidden="false" customHeight="false" outlineLevel="0" collapsed="false">
      <c r="A88" s="7" t="s">
        <v>324</v>
      </c>
      <c r="B88" s="7" t="s">
        <v>325</v>
      </c>
      <c r="C88" s="7" t="s">
        <v>18</v>
      </c>
      <c r="D88" s="7" t="s">
        <v>301</v>
      </c>
      <c r="E88" s="7" t="n">
        <v>105</v>
      </c>
      <c r="F88" s="8" t="s">
        <v>304</v>
      </c>
      <c r="G88" s="8"/>
      <c r="H88" s="8"/>
      <c r="I88" s="8" t="s">
        <v>326</v>
      </c>
      <c r="J88" s="7" t="s">
        <v>45</v>
      </c>
      <c r="K88" s="7" t="n">
        <v>1</v>
      </c>
      <c r="L88" s="9" t="s">
        <v>46</v>
      </c>
      <c r="M88" s="10"/>
    </row>
    <row r="89" customFormat="false" ht="23.85" hidden="false" customHeight="false" outlineLevel="0" collapsed="false">
      <c r="A89" s="7" t="s">
        <v>327</v>
      </c>
      <c r="B89" s="7" t="s">
        <v>328</v>
      </c>
      <c r="C89" s="7" t="s">
        <v>18</v>
      </c>
      <c r="D89" s="7" t="s">
        <v>301</v>
      </c>
      <c r="E89" s="7" t="n">
        <v>70</v>
      </c>
      <c r="F89" s="8" t="s">
        <v>304</v>
      </c>
      <c r="G89" s="8"/>
      <c r="H89" s="8"/>
      <c r="I89" s="8" t="s">
        <v>329</v>
      </c>
      <c r="J89" s="7" t="s">
        <v>45</v>
      </c>
      <c r="K89" s="7" t="n">
        <v>1</v>
      </c>
      <c r="L89" s="9" t="s">
        <v>46</v>
      </c>
      <c r="M89" s="10"/>
    </row>
    <row r="90" customFormat="false" ht="15" hidden="false" customHeight="false" outlineLevel="0" collapsed="false">
      <c r="A90" s="7" t="s">
        <v>330</v>
      </c>
      <c r="B90" s="7" t="s">
        <v>331</v>
      </c>
      <c r="C90" s="7" t="s">
        <v>18</v>
      </c>
      <c r="D90" s="7" t="s">
        <v>301</v>
      </c>
      <c r="E90" s="7" t="n">
        <v>70</v>
      </c>
      <c r="F90" s="8" t="s">
        <v>328</v>
      </c>
      <c r="G90" s="8"/>
      <c r="H90" s="8"/>
      <c r="I90" s="8" t="s">
        <v>332</v>
      </c>
      <c r="J90" s="7" t="s">
        <v>45</v>
      </c>
      <c r="K90" s="7" t="n">
        <v>1</v>
      </c>
      <c r="L90" s="9" t="s">
        <v>46</v>
      </c>
      <c r="M90" s="10"/>
    </row>
    <row r="91" customFormat="false" ht="15" hidden="false" customHeight="false" outlineLevel="0" collapsed="false">
      <c r="A91" s="7" t="s">
        <v>333</v>
      </c>
      <c r="B91" s="7" t="s">
        <v>334</v>
      </c>
      <c r="C91" s="7" t="s">
        <v>18</v>
      </c>
      <c r="D91" s="7" t="s">
        <v>301</v>
      </c>
      <c r="E91" s="7" t="n">
        <v>70</v>
      </c>
      <c r="F91" s="8" t="s">
        <v>328</v>
      </c>
      <c r="G91" s="8"/>
      <c r="H91" s="8"/>
      <c r="I91" s="8" t="s">
        <v>335</v>
      </c>
      <c r="J91" s="7" t="s">
        <v>45</v>
      </c>
      <c r="K91" s="7" t="n">
        <v>1</v>
      </c>
      <c r="L91" s="9" t="s">
        <v>46</v>
      </c>
      <c r="M91" s="10"/>
    </row>
    <row r="92" customFormat="false" ht="15" hidden="false" customHeight="false" outlineLevel="0" collapsed="false">
      <c r="A92" s="7" t="s">
        <v>336</v>
      </c>
      <c r="B92" s="7" t="s">
        <v>337</v>
      </c>
      <c r="C92" s="7" t="s">
        <v>18</v>
      </c>
      <c r="D92" s="7" t="s">
        <v>301</v>
      </c>
      <c r="E92" s="7" t="n">
        <v>70</v>
      </c>
      <c r="F92" s="8" t="s">
        <v>331</v>
      </c>
      <c r="G92" s="8"/>
      <c r="H92" s="8"/>
      <c r="I92" s="8" t="s">
        <v>338</v>
      </c>
      <c r="J92" s="7" t="s">
        <v>45</v>
      </c>
      <c r="K92" s="7" t="n">
        <v>1</v>
      </c>
      <c r="L92" s="9" t="s">
        <v>46</v>
      </c>
      <c r="M92" s="10"/>
    </row>
    <row r="93" customFormat="false" ht="15" hidden="false" customHeight="false" outlineLevel="0" collapsed="false">
      <c r="A93" s="7" t="s">
        <v>339</v>
      </c>
      <c r="B93" s="7" t="s">
        <v>340</v>
      </c>
      <c r="C93" s="7" t="s">
        <v>18</v>
      </c>
      <c r="D93" s="7" t="s">
        <v>301</v>
      </c>
      <c r="E93" s="7" t="n">
        <v>105</v>
      </c>
      <c r="F93" s="8" t="s">
        <v>334</v>
      </c>
      <c r="G93" s="8"/>
      <c r="H93" s="8" t="s">
        <v>341</v>
      </c>
      <c r="I93" s="8" t="s">
        <v>342</v>
      </c>
      <c r="J93" s="7" t="s">
        <v>45</v>
      </c>
      <c r="K93" s="7" t="n">
        <v>1</v>
      </c>
      <c r="L93" s="9" t="s">
        <v>46</v>
      </c>
      <c r="M93" s="10"/>
    </row>
    <row r="94" customFormat="false" ht="15" hidden="false" customHeight="false" outlineLevel="0" collapsed="false">
      <c r="A94" s="7" t="s">
        <v>343</v>
      </c>
      <c r="B94" s="7" t="s">
        <v>344</v>
      </c>
      <c r="C94" s="7" t="s">
        <v>18</v>
      </c>
      <c r="D94" s="7" t="s">
        <v>301</v>
      </c>
      <c r="E94" s="7" t="n">
        <v>105</v>
      </c>
      <c r="F94" s="8" t="s">
        <v>345</v>
      </c>
      <c r="G94" s="8"/>
      <c r="H94" s="8"/>
      <c r="I94" s="8" t="s">
        <v>346</v>
      </c>
      <c r="J94" s="7" t="s">
        <v>45</v>
      </c>
      <c r="K94" s="7" t="n">
        <v>1</v>
      </c>
      <c r="L94" s="9" t="s">
        <v>46</v>
      </c>
      <c r="M94" s="10"/>
    </row>
    <row r="95" customFormat="false" ht="15" hidden="false" customHeight="false" outlineLevel="0" collapsed="false">
      <c r="A95" s="7" t="s">
        <v>347</v>
      </c>
      <c r="B95" s="7" t="s">
        <v>348</v>
      </c>
      <c r="C95" s="7" t="s">
        <v>18</v>
      </c>
      <c r="D95" s="7" t="s">
        <v>301</v>
      </c>
      <c r="E95" s="7" t="n">
        <v>70</v>
      </c>
      <c r="F95" s="8" t="s">
        <v>344</v>
      </c>
      <c r="G95" s="8"/>
      <c r="H95" s="8"/>
      <c r="I95" s="8" t="s">
        <v>349</v>
      </c>
      <c r="J95" s="7" t="s">
        <v>45</v>
      </c>
      <c r="K95" s="7" t="n">
        <v>1</v>
      </c>
      <c r="L95" s="9" t="s">
        <v>46</v>
      </c>
      <c r="M95" s="10"/>
    </row>
    <row r="96" customFormat="false" ht="23.85" hidden="false" customHeight="false" outlineLevel="0" collapsed="false">
      <c r="A96" s="7" t="s">
        <v>350</v>
      </c>
      <c r="B96" s="7" t="s">
        <v>351</v>
      </c>
      <c r="C96" s="7" t="s">
        <v>18</v>
      </c>
      <c r="D96" s="7" t="s">
        <v>301</v>
      </c>
      <c r="E96" s="7" t="n">
        <v>105</v>
      </c>
      <c r="F96" s="8" t="s">
        <v>348</v>
      </c>
      <c r="G96" s="8"/>
      <c r="H96" s="8" t="s">
        <v>352</v>
      </c>
      <c r="I96" s="8" t="s">
        <v>353</v>
      </c>
      <c r="J96" s="7" t="s">
        <v>45</v>
      </c>
      <c r="K96" s="7" t="n">
        <v>1</v>
      </c>
      <c r="L96" s="9" t="s">
        <v>46</v>
      </c>
      <c r="M96" s="10"/>
    </row>
    <row r="97" customFormat="false" ht="15" hidden="false" customHeight="false" outlineLevel="0" collapsed="false">
      <c r="A97" s="7" t="s">
        <v>354</v>
      </c>
      <c r="B97" s="7" t="s">
        <v>355</v>
      </c>
      <c r="C97" s="7" t="s">
        <v>18</v>
      </c>
      <c r="D97" s="7" t="s">
        <v>301</v>
      </c>
      <c r="E97" s="7" t="n">
        <v>105</v>
      </c>
      <c r="F97" s="8" t="s">
        <v>351</v>
      </c>
      <c r="G97" s="8"/>
      <c r="H97" s="8" t="s">
        <v>356</v>
      </c>
      <c r="I97" s="8" t="s">
        <v>357</v>
      </c>
      <c r="J97" s="7" t="s">
        <v>45</v>
      </c>
      <c r="K97" s="7" t="n">
        <v>1</v>
      </c>
      <c r="L97" s="9" t="s">
        <v>46</v>
      </c>
      <c r="M97" s="10"/>
    </row>
    <row r="98" customFormat="false" ht="23.85" hidden="false" customHeight="false" outlineLevel="0" collapsed="false">
      <c r="A98" s="7" t="s">
        <v>358</v>
      </c>
      <c r="B98" s="7" t="s">
        <v>359</v>
      </c>
      <c r="C98" s="7" t="s">
        <v>18</v>
      </c>
      <c r="D98" s="7" t="s">
        <v>301</v>
      </c>
      <c r="E98" s="7" t="n">
        <v>105</v>
      </c>
      <c r="F98" s="8" t="s">
        <v>360</v>
      </c>
      <c r="G98" s="8"/>
      <c r="H98" s="8"/>
      <c r="I98" s="8" t="s">
        <v>361</v>
      </c>
      <c r="J98" s="7" t="s">
        <v>45</v>
      </c>
      <c r="K98" s="7" t="n">
        <v>1</v>
      </c>
      <c r="L98" s="9" t="s">
        <v>46</v>
      </c>
      <c r="M98" s="10"/>
    </row>
    <row r="99" customFormat="false" ht="15" hidden="false" customHeight="false" outlineLevel="0" collapsed="false">
      <c r="A99" s="7" t="s">
        <v>362</v>
      </c>
      <c r="B99" s="7" t="s">
        <v>363</v>
      </c>
      <c r="C99" s="7" t="s">
        <v>18</v>
      </c>
      <c r="D99" s="7" t="s">
        <v>301</v>
      </c>
      <c r="E99" s="7" t="n">
        <v>105</v>
      </c>
      <c r="F99" s="8" t="s">
        <v>364</v>
      </c>
      <c r="G99" s="8"/>
      <c r="H99" s="8"/>
      <c r="I99" s="8" t="s">
        <v>365</v>
      </c>
      <c r="J99" s="7" t="s">
        <v>45</v>
      </c>
      <c r="K99" s="7" t="n">
        <v>1</v>
      </c>
      <c r="L99" s="9" t="s">
        <v>46</v>
      </c>
      <c r="M99" s="10"/>
    </row>
    <row r="100" customFormat="false" ht="15" hidden="false" customHeight="false" outlineLevel="0" collapsed="false">
      <c r="A100" s="7" t="s">
        <v>366</v>
      </c>
      <c r="B100" s="7" t="s">
        <v>367</v>
      </c>
      <c r="C100" s="7" t="s">
        <v>18</v>
      </c>
      <c r="D100" s="7" t="s">
        <v>301</v>
      </c>
      <c r="E100" s="7" t="n">
        <v>140</v>
      </c>
      <c r="F100" s="8" t="s">
        <v>363</v>
      </c>
      <c r="G100" s="8"/>
      <c r="H100" s="8"/>
      <c r="I100" s="8" t="s">
        <v>368</v>
      </c>
      <c r="J100" s="7" t="s">
        <v>45</v>
      </c>
      <c r="K100" s="7" t="n">
        <v>1</v>
      </c>
      <c r="L100" s="9" t="s">
        <v>46</v>
      </c>
      <c r="M100" s="10"/>
    </row>
    <row r="101" customFormat="false" ht="15" hidden="false" customHeight="false" outlineLevel="0" collapsed="false">
      <c r="A101" s="7" t="s">
        <v>369</v>
      </c>
      <c r="B101" s="7" t="s">
        <v>370</v>
      </c>
      <c r="C101" s="7" t="s">
        <v>18</v>
      </c>
      <c r="D101" s="7" t="s">
        <v>371</v>
      </c>
      <c r="E101" s="7" t="n">
        <v>35</v>
      </c>
      <c r="F101" s="8" t="s">
        <v>277</v>
      </c>
      <c r="G101" s="8"/>
      <c r="H101" s="8"/>
      <c r="I101" s="8" t="s">
        <v>372</v>
      </c>
      <c r="J101" s="7" t="s">
        <v>45</v>
      </c>
      <c r="K101" s="7" t="n">
        <v>5</v>
      </c>
      <c r="L101" s="9" t="s">
        <v>46</v>
      </c>
      <c r="M101" s="10"/>
    </row>
    <row r="102" customFormat="false" ht="23.85" hidden="false" customHeight="false" outlineLevel="0" collapsed="false">
      <c r="A102" s="7" t="s">
        <v>373</v>
      </c>
      <c r="B102" s="7" t="s">
        <v>374</v>
      </c>
      <c r="C102" s="7" t="s">
        <v>18</v>
      </c>
      <c r="D102" s="7" t="s">
        <v>371</v>
      </c>
      <c r="E102" s="7" t="n">
        <v>70</v>
      </c>
      <c r="F102" s="8" t="s">
        <v>370</v>
      </c>
      <c r="G102" s="8" t="s">
        <v>375</v>
      </c>
      <c r="H102" s="8"/>
      <c r="I102" s="8" t="s">
        <v>376</v>
      </c>
      <c r="J102" s="7" t="s">
        <v>45</v>
      </c>
      <c r="K102" s="7" t="n">
        <v>5</v>
      </c>
      <c r="L102" s="9" t="s">
        <v>46</v>
      </c>
      <c r="M102" s="10"/>
    </row>
    <row r="103" customFormat="false" ht="23.85" hidden="false" customHeight="false" outlineLevel="0" collapsed="false">
      <c r="A103" s="7" t="s">
        <v>377</v>
      </c>
      <c r="B103" s="7" t="s">
        <v>378</v>
      </c>
      <c r="C103" s="7" t="s">
        <v>18</v>
      </c>
      <c r="D103" s="7" t="s">
        <v>371</v>
      </c>
      <c r="E103" s="7" t="n">
        <v>70</v>
      </c>
      <c r="F103" s="8" t="s">
        <v>370</v>
      </c>
      <c r="G103" s="8" t="s">
        <v>379</v>
      </c>
      <c r="H103" s="8"/>
      <c r="I103" s="8" t="s">
        <v>380</v>
      </c>
      <c r="J103" s="7" t="s">
        <v>45</v>
      </c>
      <c r="K103" s="7" t="n">
        <v>1</v>
      </c>
      <c r="L103" s="9" t="s">
        <v>46</v>
      </c>
      <c r="M103" s="10"/>
    </row>
    <row r="104" customFormat="false" ht="23.85" hidden="false" customHeight="false" outlineLevel="0" collapsed="false">
      <c r="A104" s="7" t="s">
        <v>381</v>
      </c>
      <c r="B104" s="7" t="s">
        <v>382</v>
      </c>
      <c r="C104" s="7" t="s">
        <v>18</v>
      </c>
      <c r="D104" s="7" t="s">
        <v>371</v>
      </c>
      <c r="E104" s="7" t="n">
        <v>70</v>
      </c>
      <c r="F104" s="8" t="s">
        <v>370</v>
      </c>
      <c r="G104" s="8" t="s">
        <v>383</v>
      </c>
      <c r="H104" s="8"/>
      <c r="I104" s="8" t="s">
        <v>384</v>
      </c>
      <c r="J104" s="7" t="s">
        <v>45</v>
      </c>
      <c r="K104" s="7" t="n">
        <v>1</v>
      </c>
      <c r="L104" s="9" t="s">
        <v>46</v>
      </c>
      <c r="M104" s="10"/>
    </row>
    <row r="105" customFormat="false" ht="23.85" hidden="false" customHeight="false" outlineLevel="0" collapsed="false">
      <c r="A105" s="7" t="s">
        <v>385</v>
      </c>
      <c r="B105" s="7" t="s">
        <v>386</v>
      </c>
      <c r="C105" s="7" t="s">
        <v>18</v>
      </c>
      <c r="D105" s="7" t="s">
        <v>371</v>
      </c>
      <c r="E105" s="7" t="n">
        <v>35</v>
      </c>
      <c r="F105" s="8" t="s">
        <v>387</v>
      </c>
      <c r="G105" s="8"/>
      <c r="H105" s="8"/>
      <c r="I105" s="8" t="s">
        <v>388</v>
      </c>
      <c r="J105" s="7" t="s">
        <v>45</v>
      </c>
      <c r="K105" s="7" t="n">
        <v>1</v>
      </c>
      <c r="L105" s="9" t="s">
        <v>46</v>
      </c>
      <c r="M105" s="10"/>
    </row>
    <row r="106" customFormat="false" ht="15" hidden="false" customHeight="false" outlineLevel="0" collapsed="false">
      <c r="A106" s="7" t="s">
        <v>389</v>
      </c>
      <c r="B106" s="7" t="s">
        <v>390</v>
      </c>
      <c r="C106" s="7" t="s">
        <v>18</v>
      </c>
      <c r="D106" s="7" t="s">
        <v>371</v>
      </c>
      <c r="E106" s="7" t="n">
        <v>105</v>
      </c>
      <c r="F106" s="8" t="s">
        <v>386</v>
      </c>
      <c r="G106" s="8"/>
      <c r="H106" s="8"/>
      <c r="I106" s="8" t="s">
        <v>391</v>
      </c>
      <c r="J106" s="7" t="s">
        <v>45</v>
      </c>
      <c r="K106" s="7" t="n">
        <v>1</v>
      </c>
      <c r="L106" s="9" t="s">
        <v>46</v>
      </c>
      <c r="M106" s="10"/>
    </row>
    <row r="107" customFormat="false" ht="23.85" hidden="false" customHeight="false" outlineLevel="0" collapsed="false">
      <c r="A107" s="7" t="s">
        <v>392</v>
      </c>
      <c r="B107" s="7" t="s">
        <v>393</v>
      </c>
      <c r="C107" s="7" t="s">
        <v>18</v>
      </c>
      <c r="D107" s="7" t="s">
        <v>371</v>
      </c>
      <c r="E107" s="7" t="n">
        <v>70</v>
      </c>
      <c r="F107" s="8" t="s">
        <v>387</v>
      </c>
      <c r="G107" s="8"/>
      <c r="H107" s="8"/>
      <c r="I107" s="8" t="s">
        <v>394</v>
      </c>
      <c r="J107" s="7" t="s">
        <v>45</v>
      </c>
      <c r="K107" s="7" t="n">
        <v>1</v>
      </c>
      <c r="L107" s="9" t="s">
        <v>46</v>
      </c>
      <c r="M107" s="10"/>
    </row>
    <row r="108" customFormat="false" ht="15" hidden="false" customHeight="false" outlineLevel="0" collapsed="false">
      <c r="A108" s="7" t="s">
        <v>395</v>
      </c>
      <c r="B108" s="7" t="s">
        <v>396</v>
      </c>
      <c r="C108" s="7" t="s">
        <v>18</v>
      </c>
      <c r="D108" s="7" t="s">
        <v>371</v>
      </c>
      <c r="E108" s="7" t="n">
        <v>105</v>
      </c>
      <c r="F108" s="8" t="s">
        <v>390</v>
      </c>
      <c r="G108" s="8"/>
      <c r="H108" s="8"/>
      <c r="I108" s="8" t="s">
        <v>397</v>
      </c>
      <c r="J108" s="7" t="s">
        <v>45</v>
      </c>
      <c r="K108" s="7" t="n">
        <v>1</v>
      </c>
      <c r="L108" s="9" t="s">
        <v>46</v>
      </c>
      <c r="M108" s="10"/>
    </row>
    <row r="109" customFormat="false" ht="15" hidden="false" customHeight="false" outlineLevel="0" collapsed="false">
      <c r="A109" s="7" t="s">
        <v>398</v>
      </c>
      <c r="B109" s="7" t="s">
        <v>399</v>
      </c>
      <c r="C109" s="7" t="s">
        <v>18</v>
      </c>
      <c r="D109" s="7" t="s">
        <v>400</v>
      </c>
      <c r="E109" s="7" t="n">
        <v>70</v>
      </c>
      <c r="F109" s="8" t="s">
        <v>277</v>
      </c>
      <c r="G109" s="8"/>
      <c r="H109" s="8"/>
      <c r="I109" s="8" t="s">
        <v>401</v>
      </c>
      <c r="J109" s="7" t="s">
        <v>45</v>
      </c>
      <c r="K109" s="7" t="n">
        <v>5</v>
      </c>
      <c r="L109" s="9" t="s">
        <v>46</v>
      </c>
      <c r="M109" s="10"/>
    </row>
    <row r="110" customFormat="false" ht="15" hidden="false" customHeight="false" outlineLevel="0" collapsed="false">
      <c r="A110" s="7" t="s">
        <v>402</v>
      </c>
      <c r="B110" s="7" t="s">
        <v>403</v>
      </c>
      <c r="C110" s="7" t="s">
        <v>18</v>
      </c>
      <c r="D110" s="7" t="s">
        <v>400</v>
      </c>
      <c r="E110" s="7" t="n">
        <v>35</v>
      </c>
      <c r="F110" s="8" t="s">
        <v>399</v>
      </c>
      <c r="G110" s="8"/>
      <c r="H110" s="8" t="s">
        <v>404</v>
      </c>
      <c r="I110" s="8" t="s">
        <v>405</v>
      </c>
      <c r="J110" s="7" t="s">
        <v>45</v>
      </c>
      <c r="K110" s="7" t="n">
        <v>1</v>
      </c>
      <c r="L110" s="9" t="s">
        <v>46</v>
      </c>
      <c r="M110" s="10"/>
    </row>
    <row r="111" customFormat="false" ht="15" hidden="false" customHeight="false" outlineLevel="0" collapsed="false">
      <c r="A111" s="7" t="s">
        <v>406</v>
      </c>
      <c r="B111" s="7" t="s">
        <v>407</v>
      </c>
      <c r="C111" s="7" t="s">
        <v>18</v>
      </c>
      <c r="D111" s="7" t="s">
        <v>400</v>
      </c>
      <c r="E111" s="7" t="n">
        <v>70</v>
      </c>
      <c r="F111" s="8" t="s">
        <v>403</v>
      </c>
      <c r="G111" s="8"/>
      <c r="H111" s="8" t="s">
        <v>215</v>
      </c>
      <c r="I111" s="8" t="s">
        <v>408</v>
      </c>
      <c r="J111" s="7" t="s">
        <v>45</v>
      </c>
      <c r="K111" s="7" t="n">
        <v>1</v>
      </c>
      <c r="L111" s="9" t="s">
        <v>46</v>
      </c>
      <c r="M111" s="10"/>
    </row>
    <row r="112" customFormat="false" ht="15" hidden="false" customHeight="false" outlineLevel="0" collapsed="false">
      <c r="A112" s="7" t="s">
        <v>409</v>
      </c>
      <c r="B112" s="7" t="s">
        <v>410</v>
      </c>
      <c r="C112" s="7" t="s">
        <v>18</v>
      </c>
      <c r="D112" s="7" t="s">
        <v>400</v>
      </c>
      <c r="E112" s="7" t="n">
        <v>105</v>
      </c>
      <c r="F112" s="8" t="s">
        <v>407</v>
      </c>
      <c r="G112" s="8"/>
      <c r="H112" s="8"/>
      <c r="I112" s="8" t="s">
        <v>411</v>
      </c>
      <c r="J112" s="7" t="s">
        <v>45</v>
      </c>
      <c r="K112" s="7" t="n">
        <v>1</v>
      </c>
      <c r="L112" s="9" t="s">
        <v>46</v>
      </c>
      <c r="M112" s="10"/>
    </row>
    <row r="113" customFormat="false" ht="15" hidden="false" customHeight="false" outlineLevel="0" collapsed="false">
      <c r="A113" s="7" t="s">
        <v>412</v>
      </c>
      <c r="B113" s="7" t="s">
        <v>413</v>
      </c>
      <c r="C113" s="7" t="s">
        <v>18</v>
      </c>
      <c r="D113" s="7" t="s">
        <v>400</v>
      </c>
      <c r="E113" s="7" t="n">
        <v>105</v>
      </c>
      <c r="F113" s="8" t="s">
        <v>407</v>
      </c>
      <c r="G113" s="8"/>
      <c r="H113" s="8"/>
      <c r="I113" s="8" t="s">
        <v>414</v>
      </c>
      <c r="J113" s="7" t="s">
        <v>45</v>
      </c>
      <c r="K113" s="7" t="n">
        <v>1</v>
      </c>
      <c r="L113" s="9" t="s">
        <v>46</v>
      </c>
      <c r="M113" s="10"/>
    </row>
    <row r="114" customFormat="false" ht="15" hidden="false" customHeight="false" outlineLevel="0" collapsed="false">
      <c r="A114" s="7" t="s">
        <v>415</v>
      </c>
      <c r="B114" s="7" t="s">
        <v>416</v>
      </c>
      <c r="C114" s="7" t="s">
        <v>18</v>
      </c>
      <c r="D114" s="7" t="s">
        <v>400</v>
      </c>
      <c r="E114" s="7" t="n">
        <v>70</v>
      </c>
      <c r="F114" s="8" t="s">
        <v>407</v>
      </c>
      <c r="G114" s="8"/>
      <c r="H114" s="8"/>
      <c r="I114" s="8" t="s">
        <v>417</v>
      </c>
      <c r="J114" s="7" t="s">
        <v>45</v>
      </c>
      <c r="K114" s="7" t="n">
        <v>1</v>
      </c>
      <c r="L114" s="9" t="s">
        <v>46</v>
      </c>
      <c r="M114" s="10"/>
    </row>
    <row r="115" customFormat="false" ht="23.85" hidden="false" customHeight="false" outlineLevel="0" collapsed="false">
      <c r="A115" s="7" t="s">
        <v>418</v>
      </c>
      <c r="B115" s="7" t="s">
        <v>419</v>
      </c>
      <c r="C115" s="7" t="s">
        <v>18</v>
      </c>
      <c r="D115" s="7" t="s">
        <v>400</v>
      </c>
      <c r="E115" s="7" t="n">
        <v>140</v>
      </c>
      <c r="F115" s="8" t="s">
        <v>420</v>
      </c>
      <c r="G115" s="8"/>
      <c r="H115" s="8" t="s">
        <v>421</v>
      </c>
      <c r="I115" s="8" t="s">
        <v>422</v>
      </c>
      <c r="J115" s="7" t="s">
        <v>45</v>
      </c>
      <c r="K115" s="7" t="n">
        <v>1</v>
      </c>
      <c r="L115" s="9" t="s">
        <v>46</v>
      </c>
      <c r="M115" s="10"/>
    </row>
    <row r="116" customFormat="false" ht="15" hidden="false" customHeight="false" outlineLevel="0" collapsed="false">
      <c r="A116" s="7" t="s">
        <v>423</v>
      </c>
      <c r="B116" s="7" t="s">
        <v>424</v>
      </c>
      <c r="C116" s="7" t="s">
        <v>18</v>
      </c>
      <c r="D116" s="7" t="s">
        <v>400</v>
      </c>
      <c r="E116" s="7" t="n">
        <v>70</v>
      </c>
      <c r="F116" s="8" t="s">
        <v>399</v>
      </c>
      <c r="G116" s="8"/>
      <c r="H116" s="8"/>
      <c r="I116" s="8" t="s">
        <v>425</v>
      </c>
      <c r="J116" s="7" t="s">
        <v>45</v>
      </c>
      <c r="K116" s="7" t="n">
        <v>1</v>
      </c>
      <c r="L116" s="9" t="s">
        <v>46</v>
      </c>
      <c r="M116" s="10"/>
    </row>
    <row r="117" customFormat="false" ht="15" hidden="false" customHeight="false" outlineLevel="0" collapsed="false">
      <c r="A117" s="7" t="s">
        <v>426</v>
      </c>
      <c r="B117" s="7" t="s">
        <v>427</v>
      </c>
      <c r="C117" s="7" t="s">
        <v>18</v>
      </c>
      <c r="D117" s="7" t="s">
        <v>400</v>
      </c>
      <c r="E117" s="7" t="n">
        <v>105</v>
      </c>
      <c r="F117" s="8" t="s">
        <v>424</v>
      </c>
      <c r="G117" s="8"/>
      <c r="H117" s="8"/>
      <c r="I117" s="8" t="s">
        <v>428</v>
      </c>
      <c r="J117" s="7" t="s">
        <v>45</v>
      </c>
      <c r="K117" s="7" t="n">
        <v>1</v>
      </c>
      <c r="L117" s="9" t="s">
        <v>46</v>
      </c>
      <c r="M117" s="10"/>
    </row>
    <row r="118" customFormat="false" ht="15" hidden="false" customHeight="false" outlineLevel="0" collapsed="false">
      <c r="A118" s="7" t="s">
        <v>429</v>
      </c>
      <c r="B118" s="7" t="s">
        <v>430</v>
      </c>
      <c r="C118" s="7" t="s">
        <v>18</v>
      </c>
      <c r="D118" s="7" t="s">
        <v>400</v>
      </c>
      <c r="E118" s="7" t="n">
        <v>70</v>
      </c>
      <c r="F118" s="8" t="s">
        <v>427</v>
      </c>
      <c r="G118" s="8"/>
      <c r="H118" s="8"/>
      <c r="I118" s="8" t="s">
        <v>431</v>
      </c>
      <c r="J118" s="7" t="s">
        <v>45</v>
      </c>
      <c r="K118" s="7" t="n">
        <v>1</v>
      </c>
      <c r="L118" s="9" t="s">
        <v>46</v>
      </c>
      <c r="M118" s="10"/>
    </row>
    <row r="119" customFormat="false" ht="23.85" hidden="false" customHeight="false" outlineLevel="0" collapsed="false">
      <c r="A119" s="7" t="s">
        <v>432</v>
      </c>
      <c r="B119" s="7" t="s">
        <v>433</v>
      </c>
      <c r="C119" s="7" t="s">
        <v>18</v>
      </c>
      <c r="D119" s="7" t="s">
        <v>400</v>
      </c>
      <c r="E119" s="7" t="n">
        <v>105</v>
      </c>
      <c r="F119" s="8" t="s">
        <v>434</v>
      </c>
      <c r="G119" s="8"/>
      <c r="H119" s="8"/>
      <c r="I119" s="8" t="s">
        <v>435</v>
      </c>
      <c r="J119" s="7" t="s">
        <v>45</v>
      </c>
      <c r="K119" s="7" t="n">
        <v>1</v>
      </c>
      <c r="L119" s="9" t="s">
        <v>46</v>
      </c>
      <c r="M119" s="10"/>
    </row>
    <row r="120" customFormat="false" ht="15" hidden="false" customHeight="false" outlineLevel="0" collapsed="false">
      <c r="A120" s="7" t="s">
        <v>436</v>
      </c>
      <c r="B120" s="7" t="s">
        <v>437</v>
      </c>
      <c r="C120" s="7" t="s">
        <v>18</v>
      </c>
      <c r="D120" s="7" t="s">
        <v>400</v>
      </c>
      <c r="E120" s="7" t="n">
        <v>70</v>
      </c>
      <c r="F120" s="8" t="s">
        <v>277</v>
      </c>
      <c r="G120" s="8"/>
      <c r="H120" s="8"/>
      <c r="I120" s="8" t="s">
        <v>438</v>
      </c>
      <c r="J120" s="7" t="s">
        <v>45</v>
      </c>
      <c r="K120" s="7" t="n">
        <v>1</v>
      </c>
      <c r="L120" s="9" t="s">
        <v>46</v>
      </c>
      <c r="M120" s="10"/>
    </row>
    <row r="121" customFormat="false" ht="15" hidden="false" customHeight="false" outlineLevel="0" collapsed="false">
      <c r="A121" s="7" t="s">
        <v>439</v>
      </c>
      <c r="B121" s="7" t="s">
        <v>440</v>
      </c>
      <c r="C121" s="7" t="s">
        <v>18</v>
      </c>
      <c r="D121" s="7" t="s">
        <v>400</v>
      </c>
      <c r="E121" s="7" t="n">
        <v>70</v>
      </c>
      <c r="F121" s="8" t="s">
        <v>277</v>
      </c>
      <c r="G121" s="8"/>
      <c r="H121" s="8"/>
      <c r="I121" s="8" t="s">
        <v>441</v>
      </c>
      <c r="J121" s="7" t="s">
        <v>45</v>
      </c>
      <c r="K121" s="7" t="n">
        <v>1</v>
      </c>
      <c r="L121" s="9" t="s">
        <v>46</v>
      </c>
      <c r="M121" s="10"/>
    </row>
    <row r="122" customFormat="false" ht="15" hidden="false" customHeight="false" outlineLevel="0" collapsed="false">
      <c r="A122" s="7" t="s">
        <v>442</v>
      </c>
      <c r="B122" s="7" t="s">
        <v>443</v>
      </c>
      <c r="C122" s="7" t="s">
        <v>18</v>
      </c>
      <c r="D122" s="7" t="s">
        <v>400</v>
      </c>
      <c r="E122" s="7" t="n">
        <v>70</v>
      </c>
      <c r="F122" s="8" t="s">
        <v>444</v>
      </c>
      <c r="G122" s="8"/>
      <c r="H122" s="8"/>
      <c r="I122" s="8" t="s">
        <v>445</v>
      </c>
      <c r="J122" s="7" t="s">
        <v>45</v>
      </c>
      <c r="K122" s="7" t="n">
        <v>1</v>
      </c>
      <c r="L122" s="9" t="s">
        <v>46</v>
      </c>
      <c r="M122" s="10"/>
    </row>
    <row r="123" customFormat="false" ht="15" hidden="false" customHeight="false" outlineLevel="0" collapsed="false">
      <c r="A123" s="7" t="s">
        <v>446</v>
      </c>
      <c r="B123" s="7" t="s">
        <v>19</v>
      </c>
      <c r="C123" s="7" t="s">
        <v>19</v>
      </c>
      <c r="D123" s="7" t="s">
        <v>447</v>
      </c>
      <c r="E123" s="7" t="n">
        <v>70</v>
      </c>
      <c r="F123" s="8"/>
      <c r="G123" s="8"/>
      <c r="H123" s="8"/>
      <c r="I123" s="8" t="s">
        <v>448</v>
      </c>
      <c r="J123" s="7" t="s">
        <v>45</v>
      </c>
      <c r="K123" s="7" t="n">
        <v>5</v>
      </c>
      <c r="L123" s="9" t="s">
        <v>46</v>
      </c>
      <c r="M123" s="10"/>
    </row>
    <row r="124" customFormat="false" ht="15" hidden="false" customHeight="false" outlineLevel="0" collapsed="false">
      <c r="A124" s="7" t="s">
        <v>449</v>
      </c>
      <c r="B124" s="7" t="s">
        <v>450</v>
      </c>
      <c r="C124" s="7" t="s">
        <v>19</v>
      </c>
      <c r="D124" s="7" t="s">
        <v>447</v>
      </c>
      <c r="E124" s="7" t="n">
        <v>70</v>
      </c>
      <c r="F124" s="8" t="s">
        <v>19</v>
      </c>
      <c r="G124" s="8"/>
      <c r="H124" s="8"/>
      <c r="I124" s="8" t="s">
        <v>451</v>
      </c>
      <c r="J124" s="7" t="s">
        <v>45</v>
      </c>
      <c r="K124" s="7" t="n">
        <v>1</v>
      </c>
      <c r="L124" s="9" t="s">
        <v>46</v>
      </c>
      <c r="M124" s="10"/>
    </row>
    <row r="125" customFormat="false" ht="15" hidden="false" customHeight="false" outlineLevel="0" collapsed="false">
      <c r="A125" s="7" t="s">
        <v>452</v>
      </c>
      <c r="B125" s="7" t="s">
        <v>453</v>
      </c>
      <c r="C125" s="7" t="s">
        <v>19</v>
      </c>
      <c r="D125" s="7" t="s">
        <v>447</v>
      </c>
      <c r="E125" s="7" t="n">
        <v>70</v>
      </c>
      <c r="F125" s="8" t="s">
        <v>450</v>
      </c>
      <c r="G125" s="8"/>
      <c r="H125" s="8"/>
      <c r="I125" s="8" t="s">
        <v>454</v>
      </c>
      <c r="J125" s="7" t="s">
        <v>45</v>
      </c>
      <c r="K125" s="7" t="n">
        <v>1</v>
      </c>
      <c r="L125" s="9" t="s">
        <v>46</v>
      </c>
      <c r="M125" s="10"/>
    </row>
    <row r="126" customFormat="false" ht="15" hidden="false" customHeight="false" outlineLevel="0" collapsed="false">
      <c r="A126" s="7" t="s">
        <v>455</v>
      </c>
      <c r="B126" s="7" t="s">
        <v>456</v>
      </c>
      <c r="C126" s="7" t="s">
        <v>19</v>
      </c>
      <c r="D126" s="7" t="s">
        <v>447</v>
      </c>
      <c r="E126" s="7" t="n">
        <v>105</v>
      </c>
      <c r="F126" s="8" t="s">
        <v>453</v>
      </c>
      <c r="G126" s="8"/>
      <c r="H126" s="8" t="s">
        <v>457</v>
      </c>
      <c r="I126" s="8" t="s">
        <v>458</v>
      </c>
      <c r="J126" s="7" t="s">
        <v>45</v>
      </c>
      <c r="K126" s="7" t="n">
        <v>1</v>
      </c>
      <c r="L126" s="9" t="s">
        <v>46</v>
      </c>
      <c r="M126" s="10"/>
    </row>
    <row r="127" customFormat="false" ht="15" hidden="false" customHeight="false" outlineLevel="0" collapsed="false">
      <c r="A127" s="7" t="s">
        <v>459</v>
      </c>
      <c r="B127" s="7" t="s">
        <v>460</v>
      </c>
      <c r="C127" s="7" t="s">
        <v>19</v>
      </c>
      <c r="D127" s="7" t="s">
        <v>447</v>
      </c>
      <c r="E127" s="7" t="n">
        <v>105</v>
      </c>
      <c r="F127" s="8" t="s">
        <v>450</v>
      </c>
      <c r="G127" s="8"/>
      <c r="H127" s="8"/>
      <c r="I127" s="8" t="s">
        <v>461</v>
      </c>
      <c r="J127" s="7" t="s">
        <v>45</v>
      </c>
      <c r="K127" s="7" t="n">
        <v>1</v>
      </c>
      <c r="L127" s="9" t="s">
        <v>46</v>
      </c>
      <c r="M127" s="10"/>
    </row>
    <row r="128" customFormat="false" ht="15" hidden="false" customHeight="false" outlineLevel="0" collapsed="false">
      <c r="A128" s="7" t="s">
        <v>462</v>
      </c>
      <c r="B128" s="7" t="s">
        <v>463</v>
      </c>
      <c r="C128" s="7" t="s">
        <v>19</v>
      </c>
      <c r="D128" s="7" t="s">
        <v>447</v>
      </c>
      <c r="E128" s="7" t="n">
        <v>105</v>
      </c>
      <c r="F128" s="8" t="s">
        <v>460</v>
      </c>
      <c r="G128" s="8"/>
      <c r="H128" s="8"/>
      <c r="I128" s="8" t="s">
        <v>464</v>
      </c>
      <c r="J128" s="7" t="s">
        <v>45</v>
      </c>
      <c r="K128" s="7" t="n">
        <v>1</v>
      </c>
      <c r="L128" s="9" t="s">
        <v>46</v>
      </c>
      <c r="M128" s="10"/>
    </row>
    <row r="129" customFormat="false" ht="15" hidden="false" customHeight="false" outlineLevel="0" collapsed="false">
      <c r="A129" s="7" t="s">
        <v>465</v>
      </c>
      <c r="B129" s="7" t="s">
        <v>466</v>
      </c>
      <c r="C129" s="7" t="s">
        <v>19</v>
      </c>
      <c r="D129" s="7" t="s">
        <v>447</v>
      </c>
      <c r="E129" s="7" t="n">
        <v>70</v>
      </c>
      <c r="F129" s="8" t="s">
        <v>450</v>
      </c>
      <c r="G129" s="8"/>
      <c r="H129" s="8"/>
      <c r="I129" s="8" t="s">
        <v>467</v>
      </c>
      <c r="J129" s="7" t="s">
        <v>45</v>
      </c>
      <c r="K129" s="7" t="n">
        <v>1</v>
      </c>
      <c r="L129" s="9" t="s">
        <v>46</v>
      </c>
      <c r="M129" s="10"/>
    </row>
    <row r="130" customFormat="false" ht="23.85" hidden="false" customHeight="false" outlineLevel="0" collapsed="false">
      <c r="A130" s="7" t="s">
        <v>468</v>
      </c>
      <c r="B130" s="7" t="s">
        <v>469</v>
      </c>
      <c r="C130" s="7" t="s">
        <v>19</v>
      </c>
      <c r="D130" s="7" t="s">
        <v>447</v>
      </c>
      <c r="E130" s="7" t="n">
        <v>70</v>
      </c>
      <c r="F130" s="8" t="s">
        <v>19</v>
      </c>
      <c r="G130" s="8"/>
      <c r="H130" s="8"/>
      <c r="I130" s="8" t="s">
        <v>470</v>
      </c>
      <c r="J130" s="7" t="s">
        <v>45</v>
      </c>
      <c r="K130" s="7" t="n">
        <v>1</v>
      </c>
      <c r="L130" s="9" t="s">
        <v>46</v>
      </c>
      <c r="M130" s="10"/>
    </row>
    <row r="131" customFormat="false" ht="15" hidden="false" customHeight="false" outlineLevel="0" collapsed="false">
      <c r="A131" s="7" t="s">
        <v>471</v>
      </c>
      <c r="B131" s="7" t="s">
        <v>472</v>
      </c>
      <c r="C131" s="7" t="s">
        <v>19</v>
      </c>
      <c r="D131" s="7" t="s">
        <v>447</v>
      </c>
      <c r="E131" s="7" t="n">
        <v>70</v>
      </c>
      <c r="F131" s="8" t="s">
        <v>463</v>
      </c>
      <c r="G131" s="8"/>
      <c r="H131" s="8"/>
      <c r="I131" s="8" t="s">
        <v>473</v>
      </c>
      <c r="J131" s="7" t="s">
        <v>45</v>
      </c>
      <c r="K131" s="7" t="n">
        <v>1</v>
      </c>
      <c r="L131" s="9" t="s">
        <v>46</v>
      </c>
      <c r="M131" s="10"/>
    </row>
    <row r="132" customFormat="false" ht="15" hidden="false" customHeight="false" outlineLevel="0" collapsed="false">
      <c r="A132" s="7" t="s">
        <v>474</v>
      </c>
      <c r="B132" s="7" t="s">
        <v>475</v>
      </c>
      <c r="C132" s="7" t="s">
        <v>19</v>
      </c>
      <c r="D132" s="7" t="s">
        <v>447</v>
      </c>
      <c r="E132" s="7" t="n">
        <v>70</v>
      </c>
      <c r="F132" s="8" t="s">
        <v>463</v>
      </c>
      <c r="G132" s="8"/>
      <c r="H132" s="8"/>
      <c r="I132" s="8" t="s">
        <v>476</v>
      </c>
      <c r="J132" s="7" t="s">
        <v>45</v>
      </c>
      <c r="K132" s="7" t="n">
        <v>1</v>
      </c>
      <c r="L132" s="9" t="s">
        <v>46</v>
      </c>
      <c r="M132" s="10"/>
    </row>
    <row r="133" customFormat="false" ht="15" hidden="false" customHeight="false" outlineLevel="0" collapsed="false">
      <c r="A133" s="7" t="s">
        <v>477</v>
      </c>
      <c r="B133" s="7" t="s">
        <v>478</v>
      </c>
      <c r="C133" s="7" t="s">
        <v>19</v>
      </c>
      <c r="D133" s="7" t="s">
        <v>447</v>
      </c>
      <c r="E133" s="7" t="n">
        <v>70</v>
      </c>
      <c r="F133" s="8" t="s">
        <v>475</v>
      </c>
      <c r="G133" s="8"/>
      <c r="H133" s="8"/>
      <c r="I133" s="8" t="s">
        <v>479</v>
      </c>
      <c r="J133" s="7" t="s">
        <v>45</v>
      </c>
      <c r="K133" s="7" t="n">
        <v>1</v>
      </c>
      <c r="L133" s="9" t="s">
        <v>46</v>
      </c>
      <c r="M133" s="10"/>
    </row>
    <row r="134" customFormat="false" ht="23.85" hidden="false" customHeight="false" outlineLevel="0" collapsed="false">
      <c r="A134" s="7" t="s">
        <v>480</v>
      </c>
      <c r="B134" s="7" t="s">
        <v>481</v>
      </c>
      <c r="C134" s="7" t="s">
        <v>19</v>
      </c>
      <c r="D134" s="7" t="s">
        <v>447</v>
      </c>
      <c r="E134" s="7" t="n">
        <v>140</v>
      </c>
      <c r="F134" s="8" t="s">
        <v>482</v>
      </c>
      <c r="G134" s="8"/>
      <c r="H134" s="8"/>
      <c r="I134" s="8" t="s">
        <v>483</v>
      </c>
      <c r="J134" s="7" t="s">
        <v>484</v>
      </c>
      <c r="K134" s="7" t="n">
        <v>1</v>
      </c>
      <c r="L134" s="9" t="s">
        <v>46</v>
      </c>
      <c r="M134" s="10"/>
    </row>
    <row r="135" customFormat="false" ht="15" hidden="false" customHeight="false" outlineLevel="0" collapsed="false">
      <c r="A135" s="7" t="s">
        <v>485</v>
      </c>
      <c r="B135" s="7" t="s">
        <v>486</v>
      </c>
      <c r="C135" s="7" t="s">
        <v>19</v>
      </c>
      <c r="D135" s="7" t="s">
        <v>447</v>
      </c>
      <c r="E135" s="7" t="n">
        <v>70</v>
      </c>
      <c r="F135" s="8" t="s">
        <v>475</v>
      </c>
      <c r="G135" s="8"/>
      <c r="H135" s="8"/>
      <c r="I135" s="8" t="s">
        <v>487</v>
      </c>
      <c r="J135" s="7" t="s">
        <v>484</v>
      </c>
      <c r="K135" s="7" t="n">
        <v>1</v>
      </c>
      <c r="L135" s="9" t="s">
        <v>46</v>
      </c>
      <c r="M135" s="10"/>
    </row>
    <row r="136" customFormat="false" ht="15" hidden="false" customHeight="false" outlineLevel="0" collapsed="false">
      <c r="A136" s="7" t="s">
        <v>488</v>
      </c>
      <c r="B136" s="7" t="s">
        <v>489</v>
      </c>
      <c r="C136" s="7" t="s">
        <v>19</v>
      </c>
      <c r="D136" s="7" t="s">
        <v>447</v>
      </c>
      <c r="E136" s="7" t="n">
        <v>70</v>
      </c>
      <c r="F136" s="8" t="s">
        <v>486</v>
      </c>
      <c r="G136" s="8"/>
      <c r="H136" s="8"/>
      <c r="I136" s="8" t="s">
        <v>490</v>
      </c>
      <c r="J136" s="7" t="s">
        <v>45</v>
      </c>
      <c r="K136" s="7" t="n">
        <v>1</v>
      </c>
      <c r="L136" s="9" t="s">
        <v>46</v>
      </c>
      <c r="M136" s="10"/>
    </row>
    <row r="137" customFormat="false" ht="23.85" hidden="false" customHeight="false" outlineLevel="0" collapsed="false">
      <c r="A137" s="7" t="s">
        <v>491</v>
      </c>
      <c r="B137" s="7" t="s">
        <v>492</v>
      </c>
      <c r="C137" s="7" t="s">
        <v>19</v>
      </c>
      <c r="D137" s="7" t="s">
        <v>447</v>
      </c>
      <c r="E137" s="7" t="n">
        <v>70</v>
      </c>
      <c r="F137" s="8" t="s">
        <v>493</v>
      </c>
      <c r="G137" s="8"/>
      <c r="H137" s="8"/>
      <c r="I137" s="8" t="s">
        <v>476</v>
      </c>
      <c r="J137" s="7" t="s">
        <v>45</v>
      </c>
      <c r="K137" s="7" t="n">
        <v>1</v>
      </c>
      <c r="L137" s="9" t="s">
        <v>46</v>
      </c>
      <c r="M137" s="10"/>
    </row>
    <row r="138" customFormat="false" ht="35.05" hidden="false" customHeight="false" outlineLevel="0" collapsed="false">
      <c r="A138" s="7" t="s">
        <v>494</v>
      </c>
      <c r="B138" s="7" t="s">
        <v>495</v>
      </c>
      <c r="C138" s="7" t="s">
        <v>19</v>
      </c>
      <c r="D138" s="7" t="s">
        <v>447</v>
      </c>
      <c r="E138" s="7" t="n">
        <v>140</v>
      </c>
      <c r="F138" s="8" t="s">
        <v>496</v>
      </c>
      <c r="G138" s="8"/>
      <c r="H138" s="8"/>
      <c r="I138" s="8" t="s">
        <v>497</v>
      </c>
      <c r="J138" s="7" t="s">
        <v>45</v>
      </c>
      <c r="K138" s="7" t="n">
        <v>5</v>
      </c>
      <c r="L138" s="9" t="s">
        <v>46</v>
      </c>
      <c r="M138" s="10"/>
    </row>
    <row r="139" customFormat="false" ht="15" hidden="false" customHeight="false" outlineLevel="0" collapsed="false">
      <c r="A139" s="7" t="s">
        <v>498</v>
      </c>
      <c r="B139" s="7" t="s">
        <v>499</v>
      </c>
      <c r="C139" s="7" t="s">
        <v>19</v>
      </c>
      <c r="D139" s="7" t="s">
        <v>500</v>
      </c>
      <c r="E139" s="7" t="n">
        <v>70</v>
      </c>
      <c r="F139" s="8" t="s">
        <v>19</v>
      </c>
      <c r="G139" s="8"/>
      <c r="H139" s="8"/>
      <c r="I139" s="8" t="s">
        <v>501</v>
      </c>
      <c r="J139" s="7" t="s">
        <v>45</v>
      </c>
      <c r="K139" s="7" t="n">
        <v>1</v>
      </c>
      <c r="L139" s="9" t="s">
        <v>46</v>
      </c>
      <c r="M139" s="10"/>
    </row>
    <row r="140" customFormat="false" ht="15" hidden="false" customHeight="false" outlineLevel="0" collapsed="false">
      <c r="A140" s="7" t="s">
        <v>502</v>
      </c>
      <c r="B140" s="7" t="s">
        <v>503</v>
      </c>
      <c r="C140" s="7" t="s">
        <v>19</v>
      </c>
      <c r="D140" s="7" t="s">
        <v>500</v>
      </c>
      <c r="E140" s="7" t="n">
        <v>70</v>
      </c>
      <c r="F140" s="8" t="s">
        <v>499</v>
      </c>
      <c r="G140" s="8"/>
      <c r="H140" s="8" t="s">
        <v>83</v>
      </c>
      <c r="I140" s="8" t="s">
        <v>504</v>
      </c>
      <c r="J140" s="7" t="s">
        <v>45</v>
      </c>
      <c r="K140" s="7" t="n">
        <v>1</v>
      </c>
      <c r="L140" s="9" t="s">
        <v>46</v>
      </c>
      <c r="M140" s="10"/>
    </row>
    <row r="141" customFormat="false" ht="15" hidden="false" customHeight="false" outlineLevel="0" collapsed="false">
      <c r="A141" s="7" t="s">
        <v>505</v>
      </c>
      <c r="B141" s="7" t="s">
        <v>506</v>
      </c>
      <c r="C141" s="7" t="s">
        <v>19</v>
      </c>
      <c r="D141" s="7" t="s">
        <v>500</v>
      </c>
      <c r="E141" s="7" t="n">
        <v>70</v>
      </c>
      <c r="F141" s="8" t="s">
        <v>503</v>
      </c>
      <c r="G141" s="8"/>
      <c r="H141" s="8" t="s">
        <v>507</v>
      </c>
      <c r="I141" s="8" t="s">
        <v>508</v>
      </c>
      <c r="J141" s="7" t="s">
        <v>45</v>
      </c>
      <c r="K141" s="7" t="n">
        <v>1</v>
      </c>
      <c r="L141" s="9" t="s">
        <v>46</v>
      </c>
      <c r="M141" s="10"/>
    </row>
    <row r="142" customFormat="false" ht="15" hidden="false" customHeight="false" outlineLevel="0" collapsed="false">
      <c r="A142" s="7" t="s">
        <v>509</v>
      </c>
      <c r="B142" s="7" t="s">
        <v>510</v>
      </c>
      <c r="C142" s="7" t="s">
        <v>19</v>
      </c>
      <c r="D142" s="7" t="s">
        <v>500</v>
      </c>
      <c r="E142" s="7" t="n">
        <v>105</v>
      </c>
      <c r="F142" s="8" t="s">
        <v>499</v>
      </c>
      <c r="G142" s="8"/>
      <c r="H142" s="8" t="s">
        <v>511</v>
      </c>
      <c r="I142" s="8" t="s">
        <v>512</v>
      </c>
      <c r="J142" s="7" t="s">
        <v>45</v>
      </c>
      <c r="K142" s="7" t="n">
        <v>1</v>
      </c>
      <c r="L142" s="9" t="s">
        <v>46</v>
      </c>
      <c r="M142" s="10"/>
    </row>
    <row r="143" customFormat="false" ht="15" hidden="false" customHeight="false" outlineLevel="0" collapsed="false">
      <c r="A143" s="7" t="s">
        <v>513</v>
      </c>
      <c r="B143" s="7" t="s">
        <v>514</v>
      </c>
      <c r="C143" s="7" t="s">
        <v>19</v>
      </c>
      <c r="D143" s="7" t="s">
        <v>500</v>
      </c>
      <c r="E143" s="7" t="n">
        <v>105</v>
      </c>
      <c r="F143" s="8" t="s">
        <v>510</v>
      </c>
      <c r="G143" s="8"/>
      <c r="H143" s="8"/>
      <c r="I143" s="8" t="s">
        <v>515</v>
      </c>
      <c r="J143" s="7" t="s">
        <v>45</v>
      </c>
      <c r="K143" s="7" t="n">
        <v>1</v>
      </c>
      <c r="L143" s="9" t="s">
        <v>46</v>
      </c>
      <c r="M143" s="10"/>
    </row>
    <row r="144" customFormat="false" ht="15" hidden="false" customHeight="false" outlineLevel="0" collapsed="false">
      <c r="A144" s="7" t="s">
        <v>516</v>
      </c>
      <c r="B144" s="7" t="s">
        <v>517</v>
      </c>
      <c r="C144" s="7" t="s">
        <v>19</v>
      </c>
      <c r="D144" s="7" t="s">
        <v>500</v>
      </c>
      <c r="E144" s="7" t="n">
        <v>105</v>
      </c>
      <c r="F144" s="8" t="s">
        <v>514</v>
      </c>
      <c r="G144" s="8"/>
      <c r="H144" s="8" t="s">
        <v>518</v>
      </c>
      <c r="I144" s="8" t="s">
        <v>177</v>
      </c>
      <c r="J144" s="7" t="s">
        <v>45</v>
      </c>
      <c r="K144" s="7" t="n">
        <v>1</v>
      </c>
      <c r="L144" s="9" t="s">
        <v>46</v>
      </c>
      <c r="M144" s="10"/>
    </row>
    <row r="145" customFormat="false" ht="15" hidden="false" customHeight="false" outlineLevel="0" collapsed="false">
      <c r="A145" s="7" t="s">
        <v>519</v>
      </c>
      <c r="B145" s="7" t="s">
        <v>520</v>
      </c>
      <c r="C145" s="7" t="s">
        <v>19</v>
      </c>
      <c r="D145" s="7" t="s">
        <v>500</v>
      </c>
      <c r="E145" s="7" t="n">
        <v>70</v>
      </c>
      <c r="F145" s="8" t="s">
        <v>499</v>
      </c>
      <c r="G145" s="8"/>
      <c r="H145" s="8"/>
      <c r="I145" s="8" t="s">
        <v>521</v>
      </c>
      <c r="J145" s="7" t="s">
        <v>45</v>
      </c>
      <c r="K145" s="7" t="n">
        <v>1</v>
      </c>
      <c r="L145" s="9" t="s">
        <v>46</v>
      </c>
      <c r="M145" s="10"/>
    </row>
    <row r="146" customFormat="false" ht="15" hidden="false" customHeight="false" outlineLevel="0" collapsed="false">
      <c r="A146" s="7" t="s">
        <v>522</v>
      </c>
      <c r="B146" s="7" t="s">
        <v>523</v>
      </c>
      <c r="C146" s="7" t="s">
        <v>19</v>
      </c>
      <c r="D146" s="7" t="s">
        <v>500</v>
      </c>
      <c r="E146" s="7" t="n">
        <v>70</v>
      </c>
      <c r="F146" s="8" t="s">
        <v>520</v>
      </c>
      <c r="G146" s="8"/>
      <c r="H146" s="8"/>
      <c r="I146" s="8" t="s">
        <v>524</v>
      </c>
      <c r="J146" s="7" t="s">
        <v>45</v>
      </c>
      <c r="K146" s="7" t="n">
        <v>1</v>
      </c>
      <c r="L146" s="9" t="s">
        <v>46</v>
      </c>
      <c r="M146" s="10"/>
    </row>
    <row r="147" customFormat="false" ht="23.85" hidden="false" customHeight="false" outlineLevel="0" collapsed="false">
      <c r="A147" s="7" t="s">
        <v>525</v>
      </c>
      <c r="B147" s="7" t="s">
        <v>526</v>
      </c>
      <c r="C147" s="7" t="s">
        <v>19</v>
      </c>
      <c r="D147" s="7" t="s">
        <v>500</v>
      </c>
      <c r="E147" s="7" t="n">
        <v>70</v>
      </c>
      <c r="F147" s="8" t="s">
        <v>499</v>
      </c>
      <c r="G147" s="8"/>
      <c r="H147" s="8"/>
      <c r="I147" s="8" t="s">
        <v>527</v>
      </c>
      <c r="J147" s="7" t="s">
        <v>45</v>
      </c>
      <c r="K147" s="7" t="n">
        <v>1</v>
      </c>
      <c r="L147" s="9" t="s">
        <v>46</v>
      </c>
      <c r="M147" s="10"/>
    </row>
    <row r="148" customFormat="false" ht="15" hidden="false" customHeight="false" outlineLevel="0" collapsed="false">
      <c r="A148" s="7" t="s">
        <v>528</v>
      </c>
      <c r="B148" s="7" t="s">
        <v>529</v>
      </c>
      <c r="C148" s="7" t="s">
        <v>19</v>
      </c>
      <c r="D148" s="7" t="s">
        <v>500</v>
      </c>
      <c r="E148" s="7" t="n">
        <v>70</v>
      </c>
      <c r="F148" s="8" t="s">
        <v>526</v>
      </c>
      <c r="G148" s="8"/>
      <c r="H148" s="8"/>
      <c r="I148" s="8" t="s">
        <v>530</v>
      </c>
      <c r="J148" s="7" t="s">
        <v>45</v>
      </c>
      <c r="K148" s="7" t="n">
        <v>1</v>
      </c>
      <c r="L148" s="9" t="s">
        <v>46</v>
      </c>
      <c r="M148" s="10"/>
    </row>
    <row r="149" customFormat="false" ht="15" hidden="false" customHeight="false" outlineLevel="0" collapsed="false">
      <c r="A149" s="7" t="s">
        <v>531</v>
      </c>
      <c r="B149" s="7" t="s">
        <v>532</v>
      </c>
      <c r="C149" s="7" t="s">
        <v>19</v>
      </c>
      <c r="D149" s="7" t="s">
        <v>500</v>
      </c>
      <c r="E149" s="7" t="n">
        <v>70</v>
      </c>
      <c r="F149" s="8" t="s">
        <v>503</v>
      </c>
      <c r="G149" s="8"/>
      <c r="H149" s="8"/>
      <c r="I149" s="8" t="s">
        <v>533</v>
      </c>
      <c r="J149" s="7" t="s">
        <v>45</v>
      </c>
      <c r="K149" s="7" t="n">
        <v>1</v>
      </c>
      <c r="L149" s="9" t="s">
        <v>46</v>
      </c>
      <c r="M149" s="10"/>
    </row>
    <row r="150" customFormat="false" ht="15" hidden="false" customHeight="false" outlineLevel="0" collapsed="false">
      <c r="A150" s="7" t="s">
        <v>534</v>
      </c>
      <c r="B150" s="7" t="s">
        <v>535</v>
      </c>
      <c r="C150" s="7" t="s">
        <v>19</v>
      </c>
      <c r="D150" s="7" t="s">
        <v>500</v>
      </c>
      <c r="E150" s="7" t="n">
        <v>70</v>
      </c>
      <c r="F150" s="8" t="s">
        <v>532</v>
      </c>
      <c r="G150" s="8"/>
      <c r="H150" s="8"/>
      <c r="I150" s="8" t="s">
        <v>262</v>
      </c>
      <c r="J150" s="7" t="s">
        <v>45</v>
      </c>
      <c r="K150" s="7" t="n">
        <v>1</v>
      </c>
      <c r="L150" s="9" t="s">
        <v>46</v>
      </c>
      <c r="M150" s="10"/>
    </row>
    <row r="151" customFormat="false" ht="15" hidden="false" customHeight="false" outlineLevel="0" collapsed="false">
      <c r="A151" s="7" t="s">
        <v>536</v>
      </c>
      <c r="B151" s="7" t="s">
        <v>537</v>
      </c>
      <c r="C151" s="7" t="s">
        <v>19</v>
      </c>
      <c r="D151" s="7" t="s">
        <v>538</v>
      </c>
      <c r="E151" s="7" t="n">
        <v>35</v>
      </c>
      <c r="F151" s="8" t="s">
        <v>19</v>
      </c>
      <c r="G151" s="8"/>
      <c r="H151" s="8"/>
      <c r="I151" s="8" t="s">
        <v>372</v>
      </c>
      <c r="J151" s="7" t="s">
        <v>45</v>
      </c>
      <c r="K151" s="7" t="n">
        <v>1</v>
      </c>
      <c r="L151" s="9" t="s">
        <v>46</v>
      </c>
      <c r="M151" s="10"/>
    </row>
    <row r="152" customFormat="false" ht="15" hidden="false" customHeight="false" outlineLevel="0" collapsed="false">
      <c r="A152" s="7" t="s">
        <v>539</v>
      </c>
      <c r="B152" s="7" t="s">
        <v>540</v>
      </c>
      <c r="C152" s="7" t="s">
        <v>19</v>
      </c>
      <c r="D152" s="7" t="s">
        <v>538</v>
      </c>
      <c r="E152" s="7" t="n">
        <v>105</v>
      </c>
      <c r="F152" s="8" t="s">
        <v>537</v>
      </c>
      <c r="G152" s="8"/>
      <c r="H152" s="8"/>
      <c r="I152" s="8" t="s">
        <v>541</v>
      </c>
      <c r="J152" s="7" t="s">
        <v>45</v>
      </c>
      <c r="K152" s="7" t="n">
        <v>1</v>
      </c>
      <c r="L152" s="9" t="s">
        <v>46</v>
      </c>
      <c r="M152" s="10"/>
    </row>
    <row r="153" customFormat="false" ht="15" hidden="false" customHeight="false" outlineLevel="0" collapsed="false">
      <c r="A153" s="7" t="s">
        <v>542</v>
      </c>
      <c r="B153" s="7" t="s">
        <v>543</v>
      </c>
      <c r="C153" s="7" t="s">
        <v>19</v>
      </c>
      <c r="D153" s="7" t="s">
        <v>538</v>
      </c>
      <c r="E153" s="7" t="n">
        <v>105</v>
      </c>
      <c r="F153" s="8" t="s">
        <v>537</v>
      </c>
      <c r="G153" s="8"/>
      <c r="H153" s="8"/>
      <c r="I153" s="8" t="s">
        <v>544</v>
      </c>
      <c r="J153" s="7" t="s">
        <v>45</v>
      </c>
      <c r="K153" s="7" t="n">
        <v>1</v>
      </c>
      <c r="L153" s="9" t="s">
        <v>46</v>
      </c>
      <c r="M153" s="10"/>
    </row>
    <row r="154" customFormat="false" ht="15" hidden="false" customHeight="false" outlineLevel="0" collapsed="false">
      <c r="A154" s="7" t="s">
        <v>545</v>
      </c>
      <c r="B154" s="7" t="s">
        <v>546</v>
      </c>
      <c r="C154" s="7" t="s">
        <v>19</v>
      </c>
      <c r="D154" s="7" t="s">
        <v>538</v>
      </c>
      <c r="E154" s="7" t="n">
        <v>70</v>
      </c>
      <c r="F154" s="8" t="s">
        <v>537</v>
      </c>
      <c r="G154" s="8"/>
      <c r="H154" s="8"/>
      <c r="I154" s="8" t="s">
        <v>547</v>
      </c>
      <c r="J154" s="7" t="s">
        <v>45</v>
      </c>
      <c r="K154" s="7" t="n">
        <v>1</v>
      </c>
      <c r="L154" s="9" t="s">
        <v>46</v>
      </c>
      <c r="M154" s="10"/>
    </row>
    <row r="155" customFormat="false" ht="15" hidden="false" customHeight="false" outlineLevel="0" collapsed="false">
      <c r="A155" s="7" t="s">
        <v>548</v>
      </c>
      <c r="B155" s="7" t="s">
        <v>549</v>
      </c>
      <c r="C155" s="7" t="s">
        <v>19</v>
      </c>
      <c r="D155" s="7" t="s">
        <v>538</v>
      </c>
      <c r="E155" s="7" t="n">
        <v>70</v>
      </c>
      <c r="F155" s="8" t="s">
        <v>543</v>
      </c>
      <c r="G155" s="8"/>
      <c r="H155" s="8" t="s">
        <v>550</v>
      </c>
      <c r="I155" s="8" t="s">
        <v>551</v>
      </c>
      <c r="J155" s="7" t="s">
        <v>45</v>
      </c>
      <c r="K155" s="7" t="n">
        <v>1</v>
      </c>
      <c r="L155" s="9" t="s">
        <v>46</v>
      </c>
      <c r="M155" s="10"/>
    </row>
    <row r="156" customFormat="false" ht="15" hidden="false" customHeight="false" outlineLevel="0" collapsed="false">
      <c r="A156" s="7" t="s">
        <v>552</v>
      </c>
      <c r="B156" s="7" t="s">
        <v>553</v>
      </c>
      <c r="C156" s="7" t="s">
        <v>19</v>
      </c>
      <c r="D156" s="7" t="s">
        <v>538</v>
      </c>
      <c r="E156" s="7" t="n">
        <v>70</v>
      </c>
      <c r="F156" s="8" t="s">
        <v>537</v>
      </c>
      <c r="G156" s="8"/>
      <c r="H156" s="8"/>
      <c r="I156" s="8" t="s">
        <v>252</v>
      </c>
      <c r="J156" s="7" t="s">
        <v>45</v>
      </c>
      <c r="K156" s="7" t="n">
        <v>1</v>
      </c>
      <c r="L156" s="9" t="s">
        <v>46</v>
      </c>
      <c r="M156" s="10"/>
    </row>
    <row r="157" customFormat="false" ht="23.85" hidden="false" customHeight="false" outlineLevel="0" collapsed="false">
      <c r="A157" s="7" t="s">
        <v>554</v>
      </c>
      <c r="B157" s="7" t="s">
        <v>555</v>
      </c>
      <c r="C157" s="7" t="s">
        <v>19</v>
      </c>
      <c r="D157" s="7" t="s">
        <v>538</v>
      </c>
      <c r="E157" s="7" t="n">
        <v>70</v>
      </c>
      <c r="F157" s="8" t="s">
        <v>556</v>
      </c>
      <c r="G157" s="8"/>
      <c r="H157" s="8"/>
      <c r="I157" s="8" t="s">
        <v>557</v>
      </c>
      <c r="J157" s="7" t="s">
        <v>45</v>
      </c>
      <c r="K157" s="7" t="n">
        <v>1</v>
      </c>
      <c r="L157" s="9" t="s">
        <v>46</v>
      </c>
      <c r="M157" s="10"/>
    </row>
    <row r="158" customFormat="false" ht="15" hidden="false" customHeight="false" outlineLevel="0" collapsed="false">
      <c r="A158" s="7" t="s">
        <v>558</v>
      </c>
      <c r="B158" s="7" t="s">
        <v>559</v>
      </c>
      <c r="C158" s="7" t="s">
        <v>19</v>
      </c>
      <c r="D158" s="7" t="s">
        <v>538</v>
      </c>
      <c r="E158" s="7" t="n">
        <v>70</v>
      </c>
      <c r="F158" s="8" t="s">
        <v>535</v>
      </c>
      <c r="G158" s="8"/>
      <c r="H158" s="8"/>
      <c r="I158" s="8" t="s">
        <v>560</v>
      </c>
      <c r="J158" s="7" t="s">
        <v>45</v>
      </c>
      <c r="K158" s="7" t="n">
        <v>1</v>
      </c>
      <c r="L158" s="9" t="s">
        <v>46</v>
      </c>
      <c r="M158" s="10"/>
    </row>
    <row r="159" customFormat="false" ht="23.85" hidden="false" customHeight="false" outlineLevel="0" collapsed="false">
      <c r="A159" s="7" t="s">
        <v>561</v>
      </c>
      <c r="B159" s="7" t="s">
        <v>562</v>
      </c>
      <c r="C159" s="7" t="s">
        <v>19</v>
      </c>
      <c r="D159" s="7" t="s">
        <v>538</v>
      </c>
      <c r="E159" s="7" t="n">
        <v>70</v>
      </c>
      <c r="F159" s="8" t="s">
        <v>563</v>
      </c>
      <c r="G159" s="8"/>
      <c r="H159" s="8"/>
      <c r="I159" s="8" t="s">
        <v>564</v>
      </c>
      <c r="J159" s="7" t="s">
        <v>45</v>
      </c>
      <c r="K159" s="7" t="n">
        <v>3</v>
      </c>
      <c r="L159" s="9" t="s">
        <v>46</v>
      </c>
      <c r="M159" s="10"/>
    </row>
    <row r="160" customFormat="false" ht="15" hidden="false" customHeight="false" outlineLevel="0" collapsed="false">
      <c r="A160" s="7" t="s">
        <v>565</v>
      </c>
      <c r="B160" s="7" t="s">
        <v>20</v>
      </c>
      <c r="C160" s="7" t="s">
        <v>20</v>
      </c>
      <c r="D160" s="7" t="s">
        <v>566</v>
      </c>
      <c r="E160" s="7" t="n">
        <v>70</v>
      </c>
      <c r="F160" s="8" t="s">
        <v>58</v>
      </c>
      <c r="G160" s="8"/>
      <c r="H160" s="8"/>
      <c r="I160" s="8" t="s">
        <v>372</v>
      </c>
      <c r="J160" s="7" t="s">
        <v>45</v>
      </c>
      <c r="K160" s="7" t="n">
        <v>5</v>
      </c>
      <c r="L160" s="9" t="s">
        <v>46</v>
      </c>
      <c r="M160" s="10"/>
    </row>
    <row r="161" customFormat="false" ht="23.85" hidden="false" customHeight="false" outlineLevel="0" collapsed="false">
      <c r="A161" s="7" t="s">
        <v>567</v>
      </c>
      <c r="B161" s="7" t="s">
        <v>568</v>
      </c>
      <c r="C161" s="7" t="s">
        <v>20</v>
      </c>
      <c r="D161" s="7" t="s">
        <v>566</v>
      </c>
      <c r="E161" s="7" t="n">
        <v>70</v>
      </c>
      <c r="F161" s="8" t="s">
        <v>20</v>
      </c>
      <c r="G161" s="8" t="s">
        <v>569</v>
      </c>
      <c r="H161" s="8"/>
      <c r="I161" s="8" t="s">
        <v>570</v>
      </c>
      <c r="J161" s="7" t="s">
        <v>45</v>
      </c>
      <c r="K161" s="7" t="n">
        <v>1</v>
      </c>
      <c r="L161" s="9" t="s">
        <v>46</v>
      </c>
      <c r="M161" s="10"/>
    </row>
    <row r="162" customFormat="false" ht="23.85" hidden="false" customHeight="false" outlineLevel="0" collapsed="false">
      <c r="A162" s="7" t="s">
        <v>571</v>
      </c>
      <c r="B162" s="7" t="s">
        <v>569</v>
      </c>
      <c r="C162" s="7" t="s">
        <v>20</v>
      </c>
      <c r="D162" s="7" t="s">
        <v>566</v>
      </c>
      <c r="E162" s="7" t="n">
        <v>70</v>
      </c>
      <c r="F162" s="8" t="s">
        <v>20</v>
      </c>
      <c r="G162" s="8" t="s">
        <v>568</v>
      </c>
      <c r="H162" s="8"/>
      <c r="I162" s="8" t="s">
        <v>572</v>
      </c>
      <c r="J162" s="7" t="s">
        <v>45</v>
      </c>
      <c r="K162" s="7" t="n">
        <v>3</v>
      </c>
      <c r="L162" s="9" t="s">
        <v>46</v>
      </c>
      <c r="M162" s="10"/>
    </row>
    <row r="163" customFormat="false" ht="23.85" hidden="false" customHeight="false" outlineLevel="0" collapsed="false">
      <c r="A163" s="7" t="s">
        <v>573</v>
      </c>
      <c r="B163" s="7" t="s">
        <v>574</v>
      </c>
      <c r="C163" s="7" t="s">
        <v>20</v>
      </c>
      <c r="D163" s="7" t="s">
        <v>566</v>
      </c>
      <c r="E163" s="7" t="n">
        <v>35</v>
      </c>
      <c r="F163" s="8" t="s">
        <v>20</v>
      </c>
      <c r="G163" s="8"/>
      <c r="H163" s="8" t="s">
        <v>79</v>
      </c>
      <c r="I163" s="8" t="s">
        <v>575</v>
      </c>
      <c r="J163" s="7" t="s">
        <v>45</v>
      </c>
      <c r="K163" s="7" t="n">
        <v>3</v>
      </c>
      <c r="L163" s="9" t="s">
        <v>46</v>
      </c>
      <c r="M163" s="10"/>
    </row>
    <row r="164" customFormat="false" ht="23.85" hidden="false" customHeight="false" outlineLevel="0" collapsed="false">
      <c r="A164" s="7" t="s">
        <v>576</v>
      </c>
      <c r="B164" s="7" t="s">
        <v>577</v>
      </c>
      <c r="C164" s="7" t="s">
        <v>20</v>
      </c>
      <c r="D164" s="7" t="s">
        <v>566</v>
      </c>
      <c r="E164" s="7" t="n">
        <v>70</v>
      </c>
      <c r="F164" s="8" t="s">
        <v>578</v>
      </c>
      <c r="G164" s="8"/>
      <c r="H164" s="8"/>
      <c r="I164" s="8" t="s">
        <v>579</v>
      </c>
      <c r="J164" s="7" t="s">
        <v>45</v>
      </c>
      <c r="K164" s="7" t="n">
        <v>1</v>
      </c>
      <c r="L164" s="9" t="s">
        <v>46</v>
      </c>
      <c r="M164" s="10"/>
    </row>
    <row r="165" customFormat="false" ht="15" hidden="false" customHeight="false" outlineLevel="0" collapsed="false">
      <c r="A165" s="7" t="s">
        <v>580</v>
      </c>
      <c r="B165" s="7" t="s">
        <v>581</v>
      </c>
      <c r="C165" s="7" t="s">
        <v>20</v>
      </c>
      <c r="D165" s="7" t="s">
        <v>566</v>
      </c>
      <c r="E165" s="7" t="n">
        <v>35</v>
      </c>
      <c r="F165" s="8" t="s">
        <v>574</v>
      </c>
      <c r="G165" s="8"/>
      <c r="H165" s="8" t="s">
        <v>457</v>
      </c>
      <c r="I165" s="8" t="s">
        <v>582</v>
      </c>
      <c r="J165" s="7" t="s">
        <v>45</v>
      </c>
      <c r="K165" s="7" t="n">
        <v>1</v>
      </c>
      <c r="L165" s="9" t="s">
        <v>46</v>
      </c>
      <c r="M165" s="10"/>
    </row>
    <row r="166" customFormat="false" ht="15" hidden="false" customHeight="false" outlineLevel="0" collapsed="false">
      <c r="A166" s="7" t="s">
        <v>583</v>
      </c>
      <c r="B166" s="7" t="s">
        <v>584</v>
      </c>
      <c r="C166" s="7" t="s">
        <v>20</v>
      </c>
      <c r="D166" s="7" t="s">
        <v>566</v>
      </c>
      <c r="E166" s="7" t="n">
        <v>70</v>
      </c>
      <c r="F166" s="8" t="s">
        <v>577</v>
      </c>
      <c r="G166" s="8"/>
      <c r="H166" s="8"/>
      <c r="I166" s="8" t="s">
        <v>585</v>
      </c>
      <c r="J166" s="7" t="s">
        <v>45</v>
      </c>
      <c r="K166" s="7" t="n">
        <v>1</v>
      </c>
      <c r="L166" s="9" t="s">
        <v>46</v>
      </c>
      <c r="M166" s="10"/>
    </row>
    <row r="167" customFormat="false" ht="15" hidden="false" customHeight="false" outlineLevel="0" collapsed="false">
      <c r="A167" s="7" t="s">
        <v>586</v>
      </c>
      <c r="B167" s="7" t="s">
        <v>587</v>
      </c>
      <c r="C167" s="7" t="s">
        <v>20</v>
      </c>
      <c r="D167" s="7" t="s">
        <v>566</v>
      </c>
      <c r="E167" s="7" t="n">
        <v>35</v>
      </c>
      <c r="F167" s="8" t="s">
        <v>584</v>
      </c>
      <c r="G167" s="8"/>
      <c r="H167" s="8"/>
      <c r="I167" s="8" t="s">
        <v>588</v>
      </c>
      <c r="J167" s="7" t="s">
        <v>45</v>
      </c>
      <c r="K167" s="7" t="n">
        <v>1</v>
      </c>
      <c r="L167" s="9" t="s">
        <v>46</v>
      </c>
      <c r="M167" s="10"/>
    </row>
    <row r="168" customFormat="false" ht="15" hidden="false" customHeight="false" outlineLevel="0" collapsed="false">
      <c r="A168" s="7" t="s">
        <v>589</v>
      </c>
      <c r="B168" s="7" t="s">
        <v>590</v>
      </c>
      <c r="C168" s="7" t="s">
        <v>20</v>
      </c>
      <c r="D168" s="7" t="s">
        <v>566</v>
      </c>
      <c r="E168" s="7" t="n">
        <v>70</v>
      </c>
      <c r="F168" s="8" t="s">
        <v>587</v>
      </c>
      <c r="G168" s="8"/>
      <c r="H168" s="8" t="s">
        <v>591</v>
      </c>
      <c r="I168" s="8" t="s">
        <v>592</v>
      </c>
      <c r="J168" s="7" t="s">
        <v>45</v>
      </c>
      <c r="K168" s="7" t="n">
        <v>1</v>
      </c>
      <c r="L168" s="9" t="s">
        <v>46</v>
      </c>
      <c r="M168" s="10"/>
    </row>
    <row r="169" customFormat="false" ht="15" hidden="false" customHeight="false" outlineLevel="0" collapsed="false">
      <c r="A169" s="7" t="s">
        <v>593</v>
      </c>
      <c r="B169" s="7" t="s">
        <v>594</v>
      </c>
      <c r="C169" s="7" t="s">
        <v>20</v>
      </c>
      <c r="D169" s="7" t="s">
        <v>566</v>
      </c>
      <c r="E169" s="7" t="n">
        <v>70</v>
      </c>
      <c r="F169" s="8" t="s">
        <v>20</v>
      </c>
      <c r="G169" s="8"/>
      <c r="H169" s="8"/>
      <c r="I169" s="8" t="s">
        <v>595</v>
      </c>
      <c r="J169" s="7" t="s">
        <v>45</v>
      </c>
      <c r="K169" s="7" t="n">
        <v>1</v>
      </c>
      <c r="L169" s="9" t="s">
        <v>46</v>
      </c>
      <c r="M169" s="10"/>
    </row>
    <row r="170" customFormat="false" ht="23.85" hidden="false" customHeight="false" outlineLevel="0" collapsed="false">
      <c r="A170" s="7" t="s">
        <v>596</v>
      </c>
      <c r="B170" s="7" t="s">
        <v>597</v>
      </c>
      <c r="C170" s="7" t="s">
        <v>20</v>
      </c>
      <c r="D170" s="7" t="s">
        <v>566</v>
      </c>
      <c r="E170" s="7" t="n">
        <v>105</v>
      </c>
      <c r="F170" s="8" t="s">
        <v>581</v>
      </c>
      <c r="G170" s="8"/>
      <c r="H170" s="8" t="s">
        <v>598</v>
      </c>
      <c r="I170" s="8" t="s">
        <v>599</v>
      </c>
      <c r="J170" s="7" t="s">
        <v>45</v>
      </c>
      <c r="K170" s="7" t="n">
        <v>1</v>
      </c>
      <c r="L170" s="9" t="s">
        <v>46</v>
      </c>
      <c r="M170" s="10"/>
    </row>
    <row r="171" customFormat="false" ht="15" hidden="false" customHeight="false" outlineLevel="0" collapsed="false">
      <c r="A171" s="7" t="s">
        <v>600</v>
      </c>
      <c r="B171" s="7" t="s">
        <v>601</v>
      </c>
      <c r="C171" s="7" t="s">
        <v>20</v>
      </c>
      <c r="D171" s="7" t="s">
        <v>566</v>
      </c>
      <c r="E171" s="7" t="n">
        <v>70</v>
      </c>
      <c r="F171" s="8" t="s">
        <v>597</v>
      </c>
      <c r="G171" s="8"/>
      <c r="H171" s="8"/>
      <c r="I171" s="8" t="s">
        <v>602</v>
      </c>
      <c r="J171" s="7" t="s">
        <v>45</v>
      </c>
      <c r="K171" s="7" t="n">
        <v>1</v>
      </c>
      <c r="L171" s="9" t="s">
        <v>46</v>
      </c>
      <c r="M171" s="10"/>
    </row>
    <row r="172" customFormat="false" ht="23.85" hidden="false" customHeight="false" outlineLevel="0" collapsed="false">
      <c r="A172" s="7" t="s">
        <v>603</v>
      </c>
      <c r="B172" s="7" t="s">
        <v>604</v>
      </c>
      <c r="C172" s="7" t="s">
        <v>20</v>
      </c>
      <c r="D172" s="7" t="s">
        <v>566</v>
      </c>
      <c r="E172" s="7" t="n">
        <v>140</v>
      </c>
      <c r="F172" s="8" t="s">
        <v>601</v>
      </c>
      <c r="G172" s="8"/>
      <c r="H172" s="8" t="s">
        <v>605</v>
      </c>
      <c r="I172" s="8" t="s">
        <v>606</v>
      </c>
      <c r="J172" s="7" t="s">
        <v>45</v>
      </c>
      <c r="K172" s="7" t="n">
        <v>1</v>
      </c>
      <c r="L172" s="9" t="s">
        <v>46</v>
      </c>
      <c r="M172" s="10"/>
    </row>
    <row r="173" customFormat="false" ht="15" hidden="false" customHeight="false" outlineLevel="0" collapsed="false">
      <c r="A173" s="7" t="s">
        <v>607</v>
      </c>
      <c r="B173" s="7" t="s">
        <v>608</v>
      </c>
      <c r="C173" s="7" t="s">
        <v>20</v>
      </c>
      <c r="D173" s="7" t="s">
        <v>609</v>
      </c>
      <c r="E173" s="7" t="n">
        <v>70</v>
      </c>
      <c r="F173" s="8" t="s">
        <v>20</v>
      </c>
      <c r="G173" s="8" t="s">
        <v>610</v>
      </c>
      <c r="H173" s="8" t="s">
        <v>100</v>
      </c>
      <c r="I173" s="8" t="s">
        <v>611</v>
      </c>
      <c r="J173" s="7" t="s">
        <v>45</v>
      </c>
      <c r="K173" s="7" t="n">
        <v>3</v>
      </c>
      <c r="L173" s="9" t="s">
        <v>46</v>
      </c>
      <c r="M173" s="10"/>
    </row>
    <row r="174" customFormat="false" ht="23.85" hidden="false" customHeight="false" outlineLevel="0" collapsed="false">
      <c r="A174" s="7" t="s">
        <v>612</v>
      </c>
      <c r="B174" s="7" t="s">
        <v>610</v>
      </c>
      <c r="C174" s="7" t="s">
        <v>20</v>
      </c>
      <c r="D174" s="7" t="s">
        <v>609</v>
      </c>
      <c r="E174" s="7" t="n">
        <v>70</v>
      </c>
      <c r="F174" s="8" t="s">
        <v>20</v>
      </c>
      <c r="G174" s="8" t="s">
        <v>608</v>
      </c>
      <c r="H174" s="8" t="s">
        <v>613</v>
      </c>
      <c r="I174" s="8" t="s">
        <v>614</v>
      </c>
      <c r="J174" s="7" t="s">
        <v>45</v>
      </c>
      <c r="K174" s="7" t="n">
        <v>3</v>
      </c>
      <c r="L174" s="9" t="s">
        <v>46</v>
      </c>
      <c r="M174" s="10"/>
    </row>
    <row r="175" customFormat="false" ht="23.85" hidden="false" customHeight="false" outlineLevel="0" collapsed="false">
      <c r="A175" s="7" t="s">
        <v>615</v>
      </c>
      <c r="B175" s="7" t="s">
        <v>616</v>
      </c>
      <c r="C175" s="7" t="s">
        <v>20</v>
      </c>
      <c r="D175" s="7" t="s">
        <v>609</v>
      </c>
      <c r="E175" s="7" t="n">
        <v>70</v>
      </c>
      <c r="F175" s="8" t="s">
        <v>617</v>
      </c>
      <c r="G175" s="8"/>
      <c r="H175" s="8" t="s">
        <v>618</v>
      </c>
      <c r="I175" s="8" t="s">
        <v>611</v>
      </c>
      <c r="J175" s="7" t="s">
        <v>45</v>
      </c>
      <c r="K175" s="7" t="n">
        <v>1</v>
      </c>
      <c r="L175" s="9" t="s">
        <v>46</v>
      </c>
      <c r="M175" s="10"/>
    </row>
    <row r="176" customFormat="false" ht="15" hidden="false" customHeight="false" outlineLevel="0" collapsed="false">
      <c r="A176" s="7" t="s">
        <v>619</v>
      </c>
      <c r="B176" s="7" t="s">
        <v>620</v>
      </c>
      <c r="C176" s="7" t="s">
        <v>20</v>
      </c>
      <c r="D176" s="7" t="s">
        <v>609</v>
      </c>
      <c r="E176" s="7" t="n">
        <v>70</v>
      </c>
      <c r="F176" s="8" t="s">
        <v>616</v>
      </c>
      <c r="G176" s="8"/>
      <c r="H176" s="8"/>
      <c r="I176" s="8" t="s">
        <v>621</v>
      </c>
      <c r="J176" s="7" t="s">
        <v>45</v>
      </c>
      <c r="K176" s="7" t="n">
        <v>1</v>
      </c>
      <c r="L176" s="9" t="s">
        <v>46</v>
      </c>
      <c r="M176" s="10"/>
    </row>
    <row r="177" customFormat="false" ht="23.85" hidden="false" customHeight="false" outlineLevel="0" collapsed="false">
      <c r="A177" s="7" t="s">
        <v>622</v>
      </c>
      <c r="B177" s="7" t="s">
        <v>623</v>
      </c>
      <c r="C177" s="7" t="s">
        <v>20</v>
      </c>
      <c r="D177" s="7" t="s">
        <v>609</v>
      </c>
      <c r="E177" s="7" t="n">
        <v>105</v>
      </c>
      <c r="F177" s="8" t="s">
        <v>620</v>
      </c>
      <c r="G177" s="8"/>
      <c r="H177" s="8"/>
      <c r="I177" s="8" t="s">
        <v>624</v>
      </c>
      <c r="J177" s="7" t="s">
        <v>484</v>
      </c>
      <c r="K177" s="7" t="n">
        <v>3</v>
      </c>
      <c r="L177" s="9" t="s">
        <v>46</v>
      </c>
      <c r="M177" s="10"/>
    </row>
    <row r="178" customFormat="false" ht="15" hidden="false" customHeight="false" outlineLevel="0" collapsed="false">
      <c r="A178" s="7" t="s">
        <v>625</v>
      </c>
      <c r="B178" s="7" t="s">
        <v>626</v>
      </c>
      <c r="C178" s="7" t="s">
        <v>20</v>
      </c>
      <c r="D178" s="7" t="s">
        <v>609</v>
      </c>
      <c r="E178" s="7" t="n">
        <v>70</v>
      </c>
      <c r="F178" s="8" t="s">
        <v>623</v>
      </c>
      <c r="G178" s="8"/>
      <c r="H178" s="8"/>
      <c r="I178" s="8" t="s">
        <v>627</v>
      </c>
      <c r="J178" s="7" t="s">
        <v>45</v>
      </c>
      <c r="K178" s="7" t="n">
        <v>1</v>
      </c>
      <c r="L178" s="9" t="s">
        <v>46</v>
      </c>
      <c r="M178" s="10"/>
    </row>
    <row r="179" customFormat="false" ht="15" hidden="false" customHeight="false" outlineLevel="0" collapsed="false">
      <c r="A179" s="7" t="s">
        <v>628</v>
      </c>
      <c r="B179" s="7" t="s">
        <v>629</v>
      </c>
      <c r="C179" s="7" t="s">
        <v>20</v>
      </c>
      <c r="D179" s="7" t="s">
        <v>609</v>
      </c>
      <c r="E179" s="7" t="n">
        <v>70</v>
      </c>
      <c r="F179" s="8" t="s">
        <v>626</v>
      </c>
      <c r="G179" s="8"/>
      <c r="H179" s="8"/>
      <c r="I179" s="8" t="s">
        <v>630</v>
      </c>
      <c r="J179" s="7" t="s">
        <v>45</v>
      </c>
      <c r="K179" s="7" t="n">
        <v>1</v>
      </c>
      <c r="L179" s="9" t="s">
        <v>46</v>
      </c>
      <c r="M179" s="10"/>
    </row>
    <row r="180" customFormat="false" ht="23.85" hidden="false" customHeight="false" outlineLevel="0" collapsed="false">
      <c r="A180" s="7" t="s">
        <v>631</v>
      </c>
      <c r="B180" s="7" t="s">
        <v>632</v>
      </c>
      <c r="C180" s="7" t="s">
        <v>20</v>
      </c>
      <c r="D180" s="7" t="s">
        <v>609</v>
      </c>
      <c r="E180" s="7" t="n">
        <v>35</v>
      </c>
      <c r="F180" s="8" t="s">
        <v>20</v>
      </c>
      <c r="G180" s="8"/>
      <c r="H180" s="8" t="s">
        <v>633</v>
      </c>
      <c r="I180" s="8" t="s">
        <v>634</v>
      </c>
      <c r="J180" s="7" t="s">
        <v>45</v>
      </c>
      <c r="K180" s="7" t="n">
        <v>0</v>
      </c>
      <c r="L180" s="9" t="s">
        <v>46</v>
      </c>
      <c r="M180" s="10"/>
    </row>
    <row r="181" customFormat="false" ht="15" hidden="false" customHeight="false" outlineLevel="0" collapsed="false">
      <c r="A181" s="7" t="s">
        <v>635</v>
      </c>
      <c r="B181" s="7" t="s">
        <v>636</v>
      </c>
      <c r="C181" s="7" t="s">
        <v>20</v>
      </c>
      <c r="D181" s="7" t="s">
        <v>609</v>
      </c>
      <c r="E181" s="7" t="n">
        <v>70</v>
      </c>
      <c r="F181" s="8" t="s">
        <v>610</v>
      </c>
      <c r="G181" s="8"/>
      <c r="H181" s="8" t="s">
        <v>233</v>
      </c>
      <c r="I181" s="8" t="s">
        <v>637</v>
      </c>
      <c r="J181" s="7" t="s">
        <v>45</v>
      </c>
      <c r="K181" s="7" t="n">
        <v>1</v>
      </c>
      <c r="L181" s="9" t="s">
        <v>46</v>
      </c>
      <c r="M181" s="10"/>
    </row>
    <row r="182" customFormat="false" ht="15" hidden="false" customHeight="false" outlineLevel="0" collapsed="false">
      <c r="A182" s="7" t="s">
        <v>638</v>
      </c>
      <c r="B182" s="7" t="s">
        <v>639</v>
      </c>
      <c r="C182" s="7" t="s">
        <v>20</v>
      </c>
      <c r="D182" s="7" t="s">
        <v>609</v>
      </c>
      <c r="E182" s="7" t="n">
        <v>35</v>
      </c>
      <c r="F182" s="8" t="s">
        <v>20</v>
      </c>
      <c r="G182" s="8"/>
      <c r="H182" s="8"/>
      <c r="I182" s="8" t="s">
        <v>640</v>
      </c>
      <c r="J182" s="7" t="s">
        <v>45</v>
      </c>
      <c r="K182" s="7" t="n">
        <v>1</v>
      </c>
      <c r="L182" s="9" t="s">
        <v>46</v>
      </c>
      <c r="M182" s="10"/>
    </row>
    <row r="183" customFormat="false" ht="23.85" hidden="false" customHeight="false" outlineLevel="0" collapsed="false">
      <c r="A183" s="7" t="s">
        <v>641</v>
      </c>
      <c r="B183" s="7" t="s">
        <v>642</v>
      </c>
      <c r="C183" s="7" t="s">
        <v>20</v>
      </c>
      <c r="D183" s="7" t="s">
        <v>609</v>
      </c>
      <c r="E183" s="7" t="n">
        <v>70</v>
      </c>
      <c r="F183" s="8" t="s">
        <v>639</v>
      </c>
      <c r="G183" s="8"/>
      <c r="H183" s="8" t="s">
        <v>643</v>
      </c>
      <c r="I183" s="8" t="s">
        <v>644</v>
      </c>
      <c r="J183" s="7" t="s">
        <v>45</v>
      </c>
      <c r="K183" s="7" t="n">
        <v>1</v>
      </c>
      <c r="L183" s="9" t="s">
        <v>46</v>
      </c>
      <c r="M183" s="10"/>
    </row>
    <row r="184" customFormat="false" ht="15" hidden="false" customHeight="false" outlineLevel="0" collapsed="false">
      <c r="A184" s="7" t="s">
        <v>645</v>
      </c>
      <c r="B184" s="7" t="s">
        <v>646</v>
      </c>
      <c r="C184" s="7" t="s">
        <v>20</v>
      </c>
      <c r="D184" s="7" t="s">
        <v>609</v>
      </c>
      <c r="E184" s="7" t="n">
        <v>70</v>
      </c>
      <c r="F184" s="8" t="s">
        <v>639</v>
      </c>
      <c r="G184" s="8"/>
      <c r="H184" s="8"/>
      <c r="I184" s="8" t="s">
        <v>647</v>
      </c>
      <c r="J184" s="7" t="s">
        <v>45</v>
      </c>
      <c r="K184" s="7" t="n">
        <v>3</v>
      </c>
      <c r="L184" s="9" t="s">
        <v>46</v>
      </c>
      <c r="M184" s="10"/>
    </row>
    <row r="185" customFormat="false" ht="23.85" hidden="false" customHeight="false" outlineLevel="0" collapsed="false">
      <c r="A185" s="7" t="s">
        <v>648</v>
      </c>
      <c r="B185" s="7" t="s">
        <v>649</v>
      </c>
      <c r="C185" s="7" t="s">
        <v>20</v>
      </c>
      <c r="D185" s="7" t="s">
        <v>609</v>
      </c>
      <c r="E185" s="7" t="n">
        <v>140</v>
      </c>
      <c r="F185" s="8" t="s">
        <v>650</v>
      </c>
      <c r="G185" s="8"/>
      <c r="H185" s="8" t="s">
        <v>613</v>
      </c>
      <c r="I185" s="8" t="s">
        <v>651</v>
      </c>
      <c r="J185" s="7" t="s">
        <v>45</v>
      </c>
      <c r="K185" s="7" t="n">
        <v>0</v>
      </c>
      <c r="L185" s="9" t="s">
        <v>46</v>
      </c>
      <c r="M185" s="10"/>
    </row>
    <row r="186" customFormat="false" ht="15" hidden="false" customHeight="false" outlineLevel="0" collapsed="false">
      <c r="A186" s="7" t="s">
        <v>652</v>
      </c>
      <c r="B186" s="7" t="s">
        <v>653</v>
      </c>
      <c r="C186" s="7" t="s">
        <v>20</v>
      </c>
      <c r="D186" s="7" t="s">
        <v>609</v>
      </c>
      <c r="E186" s="7" t="n">
        <v>70</v>
      </c>
      <c r="F186" s="8" t="s">
        <v>620</v>
      </c>
      <c r="G186" s="8"/>
      <c r="H186" s="8"/>
      <c r="I186" s="8" t="s">
        <v>654</v>
      </c>
      <c r="J186" s="7" t="s">
        <v>45</v>
      </c>
      <c r="K186" s="7" t="n">
        <v>1</v>
      </c>
      <c r="L186" s="9" t="s">
        <v>46</v>
      </c>
      <c r="M186" s="10"/>
    </row>
    <row r="187" customFormat="false" ht="23.85" hidden="false" customHeight="false" outlineLevel="0" collapsed="false">
      <c r="A187" s="7" t="s">
        <v>655</v>
      </c>
      <c r="B187" s="7" t="s">
        <v>656</v>
      </c>
      <c r="C187" s="7" t="s">
        <v>20</v>
      </c>
      <c r="D187" s="7" t="s">
        <v>609</v>
      </c>
      <c r="E187" s="7" t="n">
        <v>105</v>
      </c>
      <c r="F187" s="8" t="s">
        <v>657</v>
      </c>
      <c r="G187" s="8"/>
      <c r="H187" s="8"/>
      <c r="I187" s="8" t="s">
        <v>658</v>
      </c>
      <c r="J187" s="7" t="s">
        <v>45</v>
      </c>
      <c r="K187" s="7" t="n">
        <v>5</v>
      </c>
      <c r="L187" s="9" t="s">
        <v>46</v>
      </c>
      <c r="M187" s="10"/>
    </row>
    <row r="188" customFormat="false" ht="15" hidden="false" customHeight="false" outlineLevel="0" collapsed="false">
      <c r="A188" s="7" t="s">
        <v>659</v>
      </c>
      <c r="B188" s="7" t="s">
        <v>660</v>
      </c>
      <c r="C188" s="7" t="s">
        <v>20</v>
      </c>
      <c r="D188" s="7" t="s">
        <v>609</v>
      </c>
      <c r="E188" s="7" t="n">
        <v>35</v>
      </c>
      <c r="F188" s="8" t="s">
        <v>574</v>
      </c>
      <c r="G188" s="8"/>
      <c r="H188" s="8"/>
      <c r="I188" s="8" t="s">
        <v>661</v>
      </c>
      <c r="J188" s="7" t="s">
        <v>45</v>
      </c>
      <c r="K188" s="7" t="n">
        <v>1</v>
      </c>
      <c r="L188" s="9" t="s">
        <v>46</v>
      </c>
      <c r="M188" s="10"/>
    </row>
    <row r="189" customFormat="false" ht="15" hidden="false" customHeight="false" outlineLevel="0" collapsed="false">
      <c r="A189" s="7" t="s">
        <v>662</v>
      </c>
      <c r="B189" s="7" t="s">
        <v>21</v>
      </c>
      <c r="C189" s="7" t="s">
        <v>21</v>
      </c>
      <c r="D189" s="7" t="s">
        <v>663</v>
      </c>
      <c r="E189" s="7" t="n">
        <v>70</v>
      </c>
      <c r="F189" s="8"/>
      <c r="G189" s="8"/>
      <c r="H189" s="8"/>
      <c r="I189" s="8" t="s">
        <v>372</v>
      </c>
      <c r="J189" s="7" t="s">
        <v>45</v>
      </c>
      <c r="K189" s="7" t="n">
        <v>5</v>
      </c>
      <c r="L189" s="9" t="s">
        <v>46</v>
      </c>
      <c r="M189" s="10"/>
    </row>
    <row r="190" customFormat="false" ht="15" hidden="false" customHeight="false" outlineLevel="0" collapsed="false">
      <c r="A190" s="7" t="s">
        <v>664</v>
      </c>
      <c r="B190" s="7" t="s">
        <v>665</v>
      </c>
      <c r="C190" s="7" t="s">
        <v>21</v>
      </c>
      <c r="D190" s="7" t="s">
        <v>663</v>
      </c>
      <c r="E190" s="7" t="n">
        <v>35</v>
      </c>
      <c r="F190" s="8" t="s">
        <v>21</v>
      </c>
      <c r="G190" s="8"/>
      <c r="H190" s="8"/>
      <c r="I190" s="8" t="s">
        <v>666</v>
      </c>
      <c r="J190" s="7" t="s">
        <v>45</v>
      </c>
      <c r="K190" s="7" t="n">
        <v>5</v>
      </c>
      <c r="L190" s="9" t="s">
        <v>46</v>
      </c>
      <c r="M190" s="10"/>
    </row>
    <row r="191" customFormat="false" ht="15" hidden="false" customHeight="false" outlineLevel="0" collapsed="false">
      <c r="A191" s="7" t="s">
        <v>667</v>
      </c>
      <c r="B191" s="7" t="s">
        <v>668</v>
      </c>
      <c r="C191" s="7" t="s">
        <v>21</v>
      </c>
      <c r="D191" s="7" t="s">
        <v>663</v>
      </c>
      <c r="E191" s="7" t="n">
        <v>70</v>
      </c>
      <c r="F191" s="8" t="s">
        <v>665</v>
      </c>
      <c r="G191" s="8"/>
      <c r="H191" s="8"/>
      <c r="I191" s="8" t="s">
        <v>669</v>
      </c>
      <c r="J191" s="7" t="s">
        <v>45</v>
      </c>
      <c r="K191" s="7" t="n">
        <v>3</v>
      </c>
      <c r="L191" s="9" t="s">
        <v>46</v>
      </c>
      <c r="M191" s="10"/>
    </row>
    <row r="192" customFormat="false" ht="15" hidden="false" customHeight="false" outlineLevel="0" collapsed="false">
      <c r="A192" s="7" t="s">
        <v>670</v>
      </c>
      <c r="B192" s="7" t="s">
        <v>671</v>
      </c>
      <c r="C192" s="7" t="s">
        <v>21</v>
      </c>
      <c r="D192" s="7" t="s">
        <v>663</v>
      </c>
      <c r="E192" s="7" t="n">
        <v>70</v>
      </c>
      <c r="F192" s="8" t="s">
        <v>665</v>
      </c>
      <c r="G192" s="8"/>
      <c r="H192" s="8"/>
      <c r="I192" s="8" t="s">
        <v>672</v>
      </c>
      <c r="J192" s="7" t="s">
        <v>45</v>
      </c>
      <c r="K192" s="7" t="n">
        <v>1</v>
      </c>
      <c r="L192" s="9" t="s">
        <v>46</v>
      </c>
      <c r="M192" s="10"/>
    </row>
    <row r="193" customFormat="false" ht="23.85" hidden="false" customHeight="false" outlineLevel="0" collapsed="false">
      <c r="A193" s="7" t="s">
        <v>673</v>
      </c>
      <c r="B193" s="7" t="s">
        <v>674</v>
      </c>
      <c r="C193" s="7" t="s">
        <v>21</v>
      </c>
      <c r="D193" s="7" t="s">
        <v>663</v>
      </c>
      <c r="E193" s="7" t="n">
        <v>35</v>
      </c>
      <c r="F193" s="8" t="s">
        <v>671</v>
      </c>
      <c r="G193" s="8"/>
      <c r="H193" s="8"/>
      <c r="I193" s="8" t="s">
        <v>675</v>
      </c>
      <c r="J193" s="7" t="s">
        <v>45</v>
      </c>
      <c r="K193" s="7" t="n">
        <v>1</v>
      </c>
      <c r="L193" s="9" t="s">
        <v>46</v>
      </c>
      <c r="M193" s="10"/>
    </row>
    <row r="194" customFormat="false" ht="15" hidden="false" customHeight="false" outlineLevel="0" collapsed="false">
      <c r="A194" s="7" t="s">
        <v>676</v>
      </c>
      <c r="B194" s="7" t="s">
        <v>677</v>
      </c>
      <c r="C194" s="7" t="s">
        <v>21</v>
      </c>
      <c r="D194" s="7" t="s">
        <v>663</v>
      </c>
      <c r="E194" s="7" t="n">
        <v>70</v>
      </c>
      <c r="F194" s="8" t="s">
        <v>665</v>
      </c>
      <c r="G194" s="8"/>
      <c r="H194" s="8"/>
      <c r="I194" s="8" t="s">
        <v>678</v>
      </c>
      <c r="J194" s="7" t="s">
        <v>45</v>
      </c>
      <c r="K194" s="7" t="n">
        <v>1</v>
      </c>
      <c r="L194" s="9" t="s">
        <v>46</v>
      </c>
      <c r="M194" s="10"/>
    </row>
    <row r="195" customFormat="false" ht="15" hidden="false" customHeight="false" outlineLevel="0" collapsed="false">
      <c r="A195" s="7" t="s">
        <v>679</v>
      </c>
      <c r="B195" s="7" t="s">
        <v>680</v>
      </c>
      <c r="C195" s="7" t="s">
        <v>21</v>
      </c>
      <c r="D195" s="7" t="s">
        <v>663</v>
      </c>
      <c r="E195" s="7" t="n">
        <v>70</v>
      </c>
      <c r="F195" s="8" t="s">
        <v>668</v>
      </c>
      <c r="G195" s="8"/>
      <c r="H195" s="8"/>
      <c r="I195" s="8" t="s">
        <v>681</v>
      </c>
      <c r="J195" s="7" t="s">
        <v>45</v>
      </c>
      <c r="K195" s="7" t="n">
        <v>1</v>
      </c>
      <c r="L195" s="9" t="s">
        <v>46</v>
      </c>
      <c r="M195" s="10"/>
    </row>
    <row r="196" customFormat="false" ht="15" hidden="false" customHeight="false" outlineLevel="0" collapsed="false">
      <c r="A196" s="7" t="s">
        <v>682</v>
      </c>
      <c r="B196" s="7" t="s">
        <v>683</v>
      </c>
      <c r="C196" s="7" t="s">
        <v>21</v>
      </c>
      <c r="D196" s="7" t="s">
        <v>663</v>
      </c>
      <c r="E196" s="7" t="n">
        <v>70</v>
      </c>
      <c r="F196" s="8" t="s">
        <v>680</v>
      </c>
      <c r="G196" s="8"/>
      <c r="H196" s="8"/>
      <c r="I196" s="8" t="s">
        <v>265</v>
      </c>
      <c r="J196" s="7" t="s">
        <v>45</v>
      </c>
      <c r="K196" s="7" t="n">
        <v>1</v>
      </c>
      <c r="L196" s="9" t="s">
        <v>46</v>
      </c>
      <c r="M196" s="10"/>
    </row>
    <row r="197" customFormat="false" ht="15" hidden="false" customHeight="false" outlineLevel="0" collapsed="false">
      <c r="A197" s="7" t="s">
        <v>684</v>
      </c>
      <c r="B197" s="7" t="s">
        <v>685</v>
      </c>
      <c r="C197" s="7" t="s">
        <v>21</v>
      </c>
      <c r="D197" s="7" t="s">
        <v>686</v>
      </c>
      <c r="E197" s="7" t="n">
        <v>35</v>
      </c>
      <c r="F197" s="8" t="s">
        <v>21</v>
      </c>
      <c r="G197" s="8"/>
      <c r="H197" s="8"/>
      <c r="I197" s="8" t="s">
        <v>687</v>
      </c>
      <c r="J197" s="7" t="s">
        <v>45</v>
      </c>
      <c r="K197" s="7" t="n">
        <v>3</v>
      </c>
      <c r="L197" s="9" t="s">
        <v>46</v>
      </c>
      <c r="M197" s="10"/>
    </row>
    <row r="198" customFormat="false" ht="15" hidden="false" customHeight="false" outlineLevel="0" collapsed="false">
      <c r="A198" s="7" t="s">
        <v>688</v>
      </c>
      <c r="B198" s="7" t="s">
        <v>689</v>
      </c>
      <c r="C198" s="7" t="s">
        <v>21</v>
      </c>
      <c r="D198" s="7" t="s">
        <v>686</v>
      </c>
      <c r="E198" s="7" t="n">
        <v>35</v>
      </c>
      <c r="F198" s="8" t="s">
        <v>685</v>
      </c>
      <c r="G198" s="8"/>
      <c r="H198" s="8" t="s">
        <v>233</v>
      </c>
      <c r="I198" s="8" t="s">
        <v>690</v>
      </c>
      <c r="J198" s="7" t="s">
        <v>45</v>
      </c>
      <c r="K198" s="7" t="n">
        <v>1</v>
      </c>
      <c r="L198" s="9" t="s">
        <v>46</v>
      </c>
      <c r="M198" s="10"/>
    </row>
    <row r="199" customFormat="false" ht="23.85" hidden="false" customHeight="false" outlineLevel="0" collapsed="false">
      <c r="A199" s="7" t="s">
        <v>691</v>
      </c>
      <c r="B199" s="7" t="s">
        <v>692</v>
      </c>
      <c r="C199" s="7" t="s">
        <v>21</v>
      </c>
      <c r="D199" s="7" t="s">
        <v>686</v>
      </c>
      <c r="E199" s="7" t="n">
        <v>70</v>
      </c>
      <c r="F199" s="8" t="s">
        <v>693</v>
      </c>
      <c r="G199" s="8"/>
      <c r="H199" s="8"/>
      <c r="I199" s="8" t="s">
        <v>694</v>
      </c>
      <c r="J199" s="7" t="s">
        <v>45</v>
      </c>
      <c r="K199" s="7" t="n">
        <v>1</v>
      </c>
      <c r="L199" s="9" t="s">
        <v>46</v>
      </c>
      <c r="M199" s="10"/>
    </row>
    <row r="200" customFormat="false" ht="15" hidden="false" customHeight="false" outlineLevel="0" collapsed="false">
      <c r="A200" s="7" t="s">
        <v>695</v>
      </c>
      <c r="B200" s="7" t="s">
        <v>696</v>
      </c>
      <c r="C200" s="7" t="s">
        <v>21</v>
      </c>
      <c r="D200" s="7" t="s">
        <v>686</v>
      </c>
      <c r="E200" s="7" t="n">
        <v>70</v>
      </c>
      <c r="F200" s="8" t="s">
        <v>692</v>
      </c>
      <c r="G200" s="8"/>
      <c r="H200" s="8"/>
      <c r="I200" s="8" t="s">
        <v>697</v>
      </c>
      <c r="J200" s="7" t="s">
        <v>45</v>
      </c>
      <c r="K200" s="7" t="n">
        <v>1</v>
      </c>
      <c r="L200" s="9" t="s">
        <v>46</v>
      </c>
      <c r="M200" s="10"/>
    </row>
    <row r="201" customFormat="false" ht="15" hidden="false" customHeight="false" outlineLevel="0" collapsed="false">
      <c r="A201" s="7" t="s">
        <v>698</v>
      </c>
      <c r="B201" s="7" t="s">
        <v>699</v>
      </c>
      <c r="C201" s="7" t="s">
        <v>21</v>
      </c>
      <c r="D201" s="7" t="s">
        <v>686</v>
      </c>
      <c r="E201" s="7" t="n">
        <v>70</v>
      </c>
      <c r="F201" s="8" t="s">
        <v>696</v>
      </c>
      <c r="G201" s="8"/>
      <c r="H201" s="8"/>
      <c r="I201" s="8" t="s">
        <v>265</v>
      </c>
      <c r="J201" s="7" t="s">
        <v>45</v>
      </c>
      <c r="K201" s="7" t="n">
        <v>1</v>
      </c>
      <c r="L201" s="9" t="s">
        <v>46</v>
      </c>
      <c r="M201" s="10"/>
    </row>
    <row r="202" customFormat="false" ht="15" hidden="false" customHeight="false" outlineLevel="0" collapsed="false">
      <c r="A202" s="7" t="s">
        <v>700</v>
      </c>
      <c r="B202" s="7" t="s">
        <v>701</v>
      </c>
      <c r="C202" s="7" t="s">
        <v>21</v>
      </c>
      <c r="D202" s="7" t="s">
        <v>702</v>
      </c>
      <c r="E202" s="7" t="n">
        <v>70</v>
      </c>
      <c r="F202" s="8" t="s">
        <v>21</v>
      </c>
      <c r="G202" s="8"/>
      <c r="H202" s="8"/>
      <c r="I202" s="8" t="s">
        <v>372</v>
      </c>
      <c r="J202" s="7" t="s">
        <v>45</v>
      </c>
      <c r="K202" s="7" t="n">
        <v>1</v>
      </c>
      <c r="L202" s="9" t="s">
        <v>46</v>
      </c>
      <c r="M202" s="10"/>
    </row>
    <row r="203" customFormat="false" ht="15" hidden="false" customHeight="false" outlineLevel="0" collapsed="false">
      <c r="A203" s="7" t="s">
        <v>703</v>
      </c>
      <c r="B203" s="7" t="s">
        <v>704</v>
      </c>
      <c r="C203" s="7" t="s">
        <v>21</v>
      </c>
      <c r="D203" s="7" t="s">
        <v>702</v>
      </c>
      <c r="E203" s="7" t="n">
        <v>70</v>
      </c>
      <c r="F203" s="8" t="s">
        <v>701</v>
      </c>
      <c r="G203" s="8"/>
      <c r="H203" s="8"/>
      <c r="I203" s="8" t="s">
        <v>705</v>
      </c>
      <c r="J203" s="7" t="s">
        <v>45</v>
      </c>
      <c r="K203" s="7" t="n">
        <v>1</v>
      </c>
      <c r="L203" s="9" t="s">
        <v>46</v>
      </c>
      <c r="M203" s="10"/>
    </row>
    <row r="204" customFormat="false" ht="15" hidden="false" customHeight="false" outlineLevel="0" collapsed="false">
      <c r="A204" s="7" t="s">
        <v>706</v>
      </c>
      <c r="B204" s="7" t="s">
        <v>707</v>
      </c>
      <c r="C204" s="7" t="s">
        <v>21</v>
      </c>
      <c r="D204" s="7" t="s">
        <v>702</v>
      </c>
      <c r="E204" s="7" t="n">
        <v>35</v>
      </c>
      <c r="F204" s="8" t="s">
        <v>701</v>
      </c>
      <c r="G204" s="8"/>
      <c r="H204" s="8"/>
      <c r="I204" s="8" t="s">
        <v>708</v>
      </c>
      <c r="J204" s="7" t="s">
        <v>45</v>
      </c>
      <c r="K204" s="7" t="n">
        <v>1</v>
      </c>
      <c r="L204" s="9" t="s">
        <v>46</v>
      </c>
      <c r="M204" s="10"/>
    </row>
    <row r="205" customFormat="false" ht="15" hidden="false" customHeight="false" outlineLevel="0" collapsed="false">
      <c r="A205" s="7" t="s">
        <v>709</v>
      </c>
      <c r="B205" s="7" t="s">
        <v>710</v>
      </c>
      <c r="C205" s="7" t="s">
        <v>21</v>
      </c>
      <c r="D205" s="7" t="s">
        <v>702</v>
      </c>
      <c r="E205" s="7" t="n">
        <v>70</v>
      </c>
      <c r="F205" s="8" t="s">
        <v>704</v>
      </c>
      <c r="G205" s="8"/>
      <c r="H205" s="8"/>
      <c r="I205" s="8" t="s">
        <v>711</v>
      </c>
      <c r="J205" s="7" t="s">
        <v>45</v>
      </c>
      <c r="K205" s="7" t="n">
        <v>1</v>
      </c>
      <c r="L205" s="9" t="s">
        <v>46</v>
      </c>
      <c r="M205" s="10"/>
    </row>
    <row r="206" customFormat="false" ht="15" hidden="false" customHeight="false" outlineLevel="0" collapsed="false">
      <c r="A206" s="7" t="s">
        <v>712</v>
      </c>
      <c r="B206" s="7" t="s">
        <v>713</v>
      </c>
      <c r="C206" s="7" t="s">
        <v>21</v>
      </c>
      <c r="D206" s="7" t="s">
        <v>714</v>
      </c>
      <c r="E206" s="7" t="n">
        <v>70</v>
      </c>
      <c r="F206" s="8" t="s">
        <v>21</v>
      </c>
      <c r="G206" s="8"/>
      <c r="H206" s="8"/>
      <c r="I206" s="8" t="s">
        <v>715</v>
      </c>
      <c r="J206" s="7" t="s">
        <v>484</v>
      </c>
      <c r="K206" s="7" t="n">
        <v>1</v>
      </c>
      <c r="L206" s="9" t="s">
        <v>46</v>
      </c>
      <c r="M206" s="10"/>
    </row>
    <row r="207" customFormat="false" ht="15" hidden="false" customHeight="false" outlineLevel="0" collapsed="false">
      <c r="A207" s="7" t="s">
        <v>716</v>
      </c>
      <c r="B207" s="7" t="s">
        <v>717</v>
      </c>
      <c r="C207" s="7" t="s">
        <v>21</v>
      </c>
      <c r="D207" s="7" t="s">
        <v>714</v>
      </c>
      <c r="E207" s="7" t="n">
        <v>70</v>
      </c>
      <c r="F207" s="8" t="s">
        <v>713</v>
      </c>
      <c r="G207" s="8"/>
      <c r="H207" s="8"/>
      <c r="I207" s="8" t="s">
        <v>718</v>
      </c>
      <c r="J207" s="7" t="s">
        <v>484</v>
      </c>
      <c r="K207" s="7" t="n">
        <v>1</v>
      </c>
      <c r="L207" s="9" t="s">
        <v>46</v>
      </c>
      <c r="M207" s="10"/>
    </row>
    <row r="208" customFormat="false" ht="23.85" hidden="false" customHeight="false" outlineLevel="0" collapsed="false">
      <c r="A208" s="7" t="s">
        <v>719</v>
      </c>
      <c r="B208" s="7" t="s">
        <v>720</v>
      </c>
      <c r="C208" s="7" t="s">
        <v>21</v>
      </c>
      <c r="D208" s="7" t="s">
        <v>714</v>
      </c>
      <c r="E208" s="7" t="n">
        <v>105</v>
      </c>
      <c r="F208" s="8" t="s">
        <v>721</v>
      </c>
      <c r="G208" s="8"/>
      <c r="H208" s="8"/>
      <c r="I208" s="8" t="s">
        <v>722</v>
      </c>
      <c r="J208" s="7" t="s">
        <v>484</v>
      </c>
      <c r="K208" s="7" t="n">
        <v>1</v>
      </c>
      <c r="L208" s="9" t="s">
        <v>46</v>
      </c>
      <c r="M208" s="10"/>
    </row>
    <row r="209" customFormat="false" ht="15" hidden="false" customHeight="false" outlineLevel="0" collapsed="false">
      <c r="A209" s="7" t="s">
        <v>723</v>
      </c>
      <c r="B209" s="7" t="s">
        <v>724</v>
      </c>
      <c r="C209" s="7" t="s">
        <v>21</v>
      </c>
      <c r="D209" s="7" t="s">
        <v>714</v>
      </c>
      <c r="E209" s="7" t="n">
        <v>70</v>
      </c>
      <c r="F209" s="8" t="s">
        <v>717</v>
      </c>
      <c r="G209" s="8"/>
      <c r="H209" s="8"/>
      <c r="I209" s="8" t="s">
        <v>725</v>
      </c>
      <c r="J209" s="7" t="s">
        <v>484</v>
      </c>
      <c r="K209" s="7" t="n">
        <v>1</v>
      </c>
      <c r="L209" s="9" t="s">
        <v>46</v>
      </c>
      <c r="M209" s="10"/>
    </row>
    <row r="210" customFormat="false" ht="15" hidden="false" customHeight="false" outlineLevel="0" collapsed="false">
      <c r="A210" s="7" t="s">
        <v>726</v>
      </c>
      <c r="B210" s="7" t="s">
        <v>727</v>
      </c>
      <c r="C210" s="7" t="s">
        <v>21</v>
      </c>
      <c r="D210" s="7" t="s">
        <v>714</v>
      </c>
      <c r="E210" s="7" t="n">
        <v>105</v>
      </c>
      <c r="F210" s="8" t="s">
        <v>720</v>
      </c>
      <c r="G210" s="8"/>
      <c r="H210" s="8" t="s">
        <v>728</v>
      </c>
      <c r="I210" s="8" t="s">
        <v>729</v>
      </c>
      <c r="J210" s="7" t="s">
        <v>484</v>
      </c>
      <c r="K210" s="7" t="n">
        <v>1</v>
      </c>
      <c r="L210" s="9" t="s">
        <v>46</v>
      </c>
      <c r="M210" s="10"/>
    </row>
    <row r="211" customFormat="false" ht="15" hidden="false" customHeight="false" outlineLevel="0" collapsed="false">
      <c r="A211" s="7" t="s">
        <v>730</v>
      </c>
      <c r="B211" s="7" t="s">
        <v>731</v>
      </c>
      <c r="C211" s="7" t="s">
        <v>21</v>
      </c>
      <c r="D211" s="7" t="s">
        <v>732</v>
      </c>
      <c r="E211" s="7" t="n">
        <v>70</v>
      </c>
      <c r="F211" s="8" t="s">
        <v>21</v>
      </c>
      <c r="G211" s="8" t="s">
        <v>733</v>
      </c>
      <c r="H211" s="8"/>
      <c r="I211" s="8" t="s">
        <v>734</v>
      </c>
      <c r="J211" s="7" t="s">
        <v>45</v>
      </c>
      <c r="K211" s="7" t="n">
        <v>1</v>
      </c>
      <c r="L211" s="9" t="s">
        <v>46</v>
      </c>
      <c r="M211" s="10"/>
    </row>
    <row r="212" customFormat="false" ht="15" hidden="false" customHeight="false" outlineLevel="0" collapsed="false">
      <c r="A212" s="7" t="s">
        <v>735</v>
      </c>
      <c r="B212" s="7" t="s">
        <v>733</v>
      </c>
      <c r="C212" s="7" t="s">
        <v>21</v>
      </c>
      <c r="D212" s="7" t="s">
        <v>732</v>
      </c>
      <c r="E212" s="7" t="n">
        <v>70</v>
      </c>
      <c r="F212" s="8" t="s">
        <v>21</v>
      </c>
      <c r="G212" s="8" t="s">
        <v>731</v>
      </c>
      <c r="H212" s="8"/>
      <c r="I212" s="8" t="s">
        <v>736</v>
      </c>
      <c r="J212" s="7" t="s">
        <v>45</v>
      </c>
      <c r="K212" s="7" t="n">
        <v>1</v>
      </c>
      <c r="L212" s="9" t="s">
        <v>46</v>
      </c>
      <c r="M212" s="10"/>
    </row>
    <row r="213" customFormat="false" ht="23.85" hidden="false" customHeight="false" outlineLevel="0" collapsed="false">
      <c r="A213" s="7" t="s">
        <v>737</v>
      </c>
      <c r="B213" s="7" t="s">
        <v>738</v>
      </c>
      <c r="C213" s="7" t="s">
        <v>21</v>
      </c>
      <c r="D213" s="7" t="s">
        <v>732</v>
      </c>
      <c r="E213" s="7" t="n">
        <v>70</v>
      </c>
      <c r="F213" s="8" t="s">
        <v>739</v>
      </c>
      <c r="G213" s="8"/>
      <c r="H213" s="8"/>
      <c r="I213" s="8" t="s">
        <v>740</v>
      </c>
      <c r="J213" s="7" t="s">
        <v>45</v>
      </c>
      <c r="K213" s="7" t="n">
        <v>1</v>
      </c>
      <c r="L213" s="9" t="s">
        <v>46</v>
      </c>
      <c r="M213" s="10"/>
    </row>
    <row r="214" customFormat="false" ht="15" hidden="false" customHeight="false" outlineLevel="0" collapsed="false">
      <c r="A214" s="7" t="s">
        <v>741</v>
      </c>
      <c r="B214" s="7" t="s">
        <v>742</v>
      </c>
      <c r="C214" s="7" t="s">
        <v>21</v>
      </c>
      <c r="D214" s="7" t="s">
        <v>743</v>
      </c>
      <c r="E214" s="7" t="n">
        <v>70</v>
      </c>
      <c r="F214" s="8" t="s">
        <v>21</v>
      </c>
      <c r="G214" s="8"/>
      <c r="H214" s="8" t="s">
        <v>744</v>
      </c>
      <c r="I214" s="8" t="s">
        <v>745</v>
      </c>
      <c r="J214" s="7" t="s">
        <v>45</v>
      </c>
      <c r="K214" s="7" t="n">
        <v>5</v>
      </c>
      <c r="L214" s="9" t="s">
        <v>46</v>
      </c>
      <c r="M214" s="10"/>
    </row>
    <row r="215" customFormat="false" ht="15" hidden="false" customHeight="false" outlineLevel="0" collapsed="false">
      <c r="A215" s="7" t="s">
        <v>746</v>
      </c>
      <c r="B215" s="7" t="s">
        <v>747</v>
      </c>
      <c r="C215" s="7" t="s">
        <v>21</v>
      </c>
      <c r="D215" s="7" t="s">
        <v>743</v>
      </c>
      <c r="E215" s="7" t="n">
        <v>70</v>
      </c>
      <c r="F215" s="8" t="s">
        <v>742</v>
      </c>
      <c r="G215" s="8"/>
      <c r="H215" s="8"/>
      <c r="I215" s="8" t="s">
        <v>748</v>
      </c>
      <c r="J215" s="7" t="s">
        <v>45</v>
      </c>
      <c r="K215" s="7" t="n">
        <v>1</v>
      </c>
      <c r="L215" s="9" t="s">
        <v>46</v>
      </c>
      <c r="M215" s="10"/>
    </row>
    <row r="216" customFormat="false" ht="15" hidden="false" customHeight="false" outlineLevel="0" collapsed="false">
      <c r="A216" s="7" t="s">
        <v>749</v>
      </c>
      <c r="B216" s="7" t="s">
        <v>750</v>
      </c>
      <c r="C216" s="7" t="s">
        <v>21</v>
      </c>
      <c r="D216" s="7" t="s">
        <v>743</v>
      </c>
      <c r="E216" s="7" t="n">
        <v>35</v>
      </c>
      <c r="F216" s="8" t="s">
        <v>747</v>
      </c>
      <c r="G216" s="8"/>
      <c r="H216" s="8" t="s">
        <v>87</v>
      </c>
      <c r="I216" s="8" t="s">
        <v>751</v>
      </c>
      <c r="J216" s="7" t="s">
        <v>45</v>
      </c>
      <c r="K216" s="7" t="n">
        <v>1</v>
      </c>
      <c r="L216" s="9" t="s">
        <v>46</v>
      </c>
      <c r="M216" s="10"/>
    </row>
    <row r="217" customFormat="false" ht="15" hidden="false" customHeight="false" outlineLevel="0" collapsed="false">
      <c r="A217" s="7" t="s">
        <v>752</v>
      </c>
      <c r="B217" s="7" t="s">
        <v>753</v>
      </c>
      <c r="C217" s="7" t="s">
        <v>21</v>
      </c>
      <c r="D217" s="7" t="s">
        <v>743</v>
      </c>
      <c r="E217" s="7" t="n">
        <v>70</v>
      </c>
      <c r="F217" s="8" t="s">
        <v>750</v>
      </c>
      <c r="G217" s="8"/>
      <c r="H217" s="8"/>
      <c r="I217" s="8" t="s">
        <v>754</v>
      </c>
      <c r="J217" s="7" t="s">
        <v>45</v>
      </c>
      <c r="K217" s="7" t="n">
        <v>1</v>
      </c>
      <c r="L217" s="9" t="s">
        <v>46</v>
      </c>
      <c r="M217" s="10"/>
    </row>
    <row r="218" customFormat="false" ht="15" hidden="false" customHeight="false" outlineLevel="0" collapsed="false">
      <c r="A218" s="7" t="s">
        <v>755</v>
      </c>
      <c r="B218" s="7" t="s">
        <v>756</v>
      </c>
      <c r="C218" s="7" t="s">
        <v>21</v>
      </c>
      <c r="D218" s="7" t="s">
        <v>743</v>
      </c>
      <c r="E218" s="7" t="n">
        <v>35</v>
      </c>
      <c r="F218" s="8" t="s">
        <v>742</v>
      </c>
      <c r="G218" s="8"/>
      <c r="H218" s="8"/>
      <c r="I218" s="8" t="s">
        <v>757</v>
      </c>
      <c r="J218" s="7" t="s">
        <v>45</v>
      </c>
      <c r="K218" s="7" t="n">
        <v>1</v>
      </c>
      <c r="L218" s="9" t="s">
        <v>46</v>
      </c>
      <c r="M218" s="10"/>
    </row>
    <row r="219" customFormat="false" ht="15" hidden="false" customHeight="false" outlineLevel="0" collapsed="false">
      <c r="A219" s="7" t="s">
        <v>758</v>
      </c>
      <c r="B219" s="7" t="s">
        <v>759</v>
      </c>
      <c r="C219" s="7" t="s">
        <v>21</v>
      </c>
      <c r="D219" s="7" t="s">
        <v>743</v>
      </c>
      <c r="E219" s="7" t="n">
        <v>70</v>
      </c>
      <c r="F219" s="8" t="s">
        <v>21</v>
      </c>
      <c r="G219" s="8"/>
      <c r="H219" s="8"/>
      <c r="I219" s="8" t="s">
        <v>760</v>
      </c>
      <c r="J219" s="7" t="s">
        <v>45</v>
      </c>
      <c r="K219" s="7" t="n">
        <v>1</v>
      </c>
      <c r="L219" s="9" t="s">
        <v>46</v>
      </c>
      <c r="M219" s="10"/>
    </row>
    <row r="220" customFormat="false" ht="23.85" hidden="false" customHeight="false" outlineLevel="0" collapsed="false">
      <c r="A220" s="7" t="s">
        <v>761</v>
      </c>
      <c r="B220" s="7" t="s">
        <v>762</v>
      </c>
      <c r="C220" s="7" t="s">
        <v>21</v>
      </c>
      <c r="D220" s="7" t="s">
        <v>743</v>
      </c>
      <c r="E220" s="7" t="n">
        <v>70</v>
      </c>
      <c r="F220" s="8" t="s">
        <v>763</v>
      </c>
      <c r="G220" s="8"/>
      <c r="H220" s="8"/>
      <c r="I220" s="8" t="s">
        <v>764</v>
      </c>
      <c r="J220" s="7" t="s">
        <v>45</v>
      </c>
      <c r="K220" s="7" t="n">
        <v>1</v>
      </c>
      <c r="L220" s="9" t="s">
        <v>46</v>
      </c>
      <c r="M220" s="10"/>
    </row>
    <row r="221" customFormat="false" ht="35.05" hidden="false" customHeight="false" outlineLevel="0" collapsed="false">
      <c r="A221" s="7" t="s">
        <v>765</v>
      </c>
      <c r="B221" s="7" t="s">
        <v>766</v>
      </c>
      <c r="C221" s="7" t="s">
        <v>21</v>
      </c>
      <c r="D221" s="7" t="s">
        <v>743</v>
      </c>
      <c r="E221" s="7" t="n">
        <v>140</v>
      </c>
      <c r="F221" s="8" t="s">
        <v>767</v>
      </c>
      <c r="G221" s="8"/>
      <c r="H221" s="8"/>
      <c r="I221" s="8" t="s">
        <v>768</v>
      </c>
      <c r="J221" s="7" t="s">
        <v>45</v>
      </c>
      <c r="K221" s="7" t="n">
        <v>5</v>
      </c>
      <c r="L221" s="9" t="s">
        <v>46</v>
      </c>
      <c r="M221" s="10"/>
    </row>
    <row r="222" customFormat="false" ht="15" hidden="false" customHeight="false" outlineLevel="0" collapsed="false">
      <c r="A222" s="7" t="s">
        <v>769</v>
      </c>
      <c r="B222" s="7" t="s">
        <v>22</v>
      </c>
      <c r="C222" s="7" t="s">
        <v>22</v>
      </c>
      <c r="D222" s="7" t="s">
        <v>770</v>
      </c>
      <c r="E222" s="7" t="n">
        <v>70</v>
      </c>
      <c r="F222" s="8"/>
      <c r="G222" s="8"/>
      <c r="H222" s="8" t="s">
        <v>771</v>
      </c>
      <c r="I222" s="8" t="s">
        <v>772</v>
      </c>
      <c r="J222" s="7" t="s">
        <v>45</v>
      </c>
      <c r="K222" s="7" t="n">
        <v>5</v>
      </c>
      <c r="L222" s="9" t="s">
        <v>46</v>
      </c>
      <c r="M222" s="10"/>
    </row>
    <row r="223" customFormat="false" ht="23.85" hidden="false" customHeight="false" outlineLevel="0" collapsed="false">
      <c r="A223" s="7" t="s">
        <v>773</v>
      </c>
      <c r="B223" s="7" t="s">
        <v>774</v>
      </c>
      <c r="C223" s="7" t="s">
        <v>22</v>
      </c>
      <c r="D223" s="7" t="s">
        <v>770</v>
      </c>
      <c r="E223" s="7" t="n">
        <v>35</v>
      </c>
      <c r="F223" s="8" t="s">
        <v>22</v>
      </c>
      <c r="G223" s="8" t="s">
        <v>775</v>
      </c>
      <c r="H223" s="8"/>
      <c r="I223" s="8" t="s">
        <v>776</v>
      </c>
      <c r="J223" s="7" t="s">
        <v>45</v>
      </c>
      <c r="K223" s="7" t="n">
        <v>1</v>
      </c>
      <c r="L223" s="9" t="s">
        <v>46</v>
      </c>
      <c r="M223" s="10"/>
    </row>
    <row r="224" customFormat="false" ht="23.85" hidden="false" customHeight="false" outlineLevel="0" collapsed="false">
      <c r="A224" s="7" t="s">
        <v>777</v>
      </c>
      <c r="B224" s="7" t="s">
        <v>778</v>
      </c>
      <c r="C224" s="7" t="s">
        <v>22</v>
      </c>
      <c r="D224" s="7" t="s">
        <v>770</v>
      </c>
      <c r="E224" s="7" t="n">
        <v>35</v>
      </c>
      <c r="F224" s="8" t="s">
        <v>22</v>
      </c>
      <c r="G224" s="8" t="s">
        <v>779</v>
      </c>
      <c r="H224" s="8"/>
      <c r="I224" s="8" t="s">
        <v>780</v>
      </c>
      <c r="J224" s="7" t="s">
        <v>45</v>
      </c>
      <c r="K224" s="7" t="n">
        <v>5</v>
      </c>
      <c r="L224" s="9" t="s">
        <v>46</v>
      </c>
      <c r="M224" s="10"/>
    </row>
    <row r="225" customFormat="false" ht="23.85" hidden="false" customHeight="false" outlineLevel="0" collapsed="false">
      <c r="A225" s="7" t="s">
        <v>781</v>
      </c>
      <c r="B225" s="7" t="s">
        <v>782</v>
      </c>
      <c r="C225" s="7" t="s">
        <v>22</v>
      </c>
      <c r="D225" s="7" t="s">
        <v>770</v>
      </c>
      <c r="E225" s="7" t="n">
        <v>35</v>
      </c>
      <c r="F225" s="8" t="s">
        <v>22</v>
      </c>
      <c r="G225" s="8" t="s">
        <v>783</v>
      </c>
      <c r="H225" s="8"/>
      <c r="I225" s="8" t="s">
        <v>784</v>
      </c>
      <c r="J225" s="7" t="s">
        <v>45</v>
      </c>
      <c r="K225" s="7" t="n">
        <v>1</v>
      </c>
      <c r="L225" s="9" t="s">
        <v>46</v>
      </c>
      <c r="M225" s="10"/>
    </row>
    <row r="226" customFormat="false" ht="23.85" hidden="false" customHeight="false" outlineLevel="0" collapsed="false">
      <c r="A226" s="7" t="s">
        <v>785</v>
      </c>
      <c r="B226" s="7" t="s">
        <v>786</v>
      </c>
      <c r="C226" s="7" t="s">
        <v>22</v>
      </c>
      <c r="D226" s="7" t="s">
        <v>770</v>
      </c>
      <c r="E226" s="7" t="n">
        <v>70</v>
      </c>
      <c r="F226" s="8" t="s">
        <v>787</v>
      </c>
      <c r="G226" s="8"/>
      <c r="H226" s="8"/>
      <c r="I226" s="8" t="s">
        <v>788</v>
      </c>
      <c r="J226" s="7" t="s">
        <v>45</v>
      </c>
      <c r="K226" s="7" t="n">
        <v>3</v>
      </c>
      <c r="L226" s="9" t="s">
        <v>46</v>
      </c>
      <c r="M226" s="10"/>
    </row>
    <row r="227" customFormat="false" ht="15" hidden="false" customHeight="false" outlineLevel="0" collapsed="false">
      <c r="A227" s="7" t="s">
        <v>789</v>
      </c>
      <c r="B227" s="7" t="s">
        <v>790</v>
      </c>
      <c r="C227" s="7" t="s">
        <v>22</v>
      </c>
      <c r="D227" s="7" t="s">
        <v>770</v>
      </c>
      <c r="E227" s="7" t="n">
        <v>70</v>
      </c>
      <c r="F227" s="8" t="s">
        <v>786</v>
      </c>
      <c r="G227" s="8"/>
      <c r="H227" s="8"/>
      <c r="I227" s="8" t="s">
        <v>791</v>
      </c>
      <c r="J227" s="7" t="s">
        <v>45</v>
      </c>
      <c r="K227" s="7" t="n">
        <v>1</v>
      </c>
      <c r="L227" s="9" t="s">
        <v>46</v>
      </c>
      <c r="M227" s="10"/>
    </row>
    <row r="228" customFormat="false" ht="15" hidden="false" customHeight="false" outlineLevel="0" collapsed="false">
      <c r="A228" s="7" t="s">
        <v>792</v>
      </c>
      <c r="B228" s="7" t="s">
        <v>793</v>
      </c>
      <c r="C228" s="7" t="s">
        <v>22</v>
      </c>
      <c r="D228" s="7" t="s">
        <v>770</v>
      </c>
      <c r="E228" s="7" t="n">
        <v>35</v>
      </c>
      <c r="F228" s="8" t="s">
        <v>786</v>
      </c>
      <c r="G228" s="8"/>
      <c r="H228" s="8"/>
      <c r="I228" s="8" t="s">
        <v>794</v>
      </c>
      <c r="J228" s="7" t="s">
        <v>45</v>
      </c>
      <c r="K228" s="7" t="n">
        <v>1</v>
      </c>
      <c r="L228" s="9" t="s">
        <v>46</v>
      </c>
      <c r="M228" s="10"/>
    </row>
    <row r="229" customFormat="false" ht="15" hidden="false" customHeight="false" outlineLevel="0" collapsed="false">
      <c r="A229" s="7" t="s">
        <v>795</v>
      </c>
      <c r="B229" s="7" t="s">
        <v>796</v>
      </c>
      <c r="C229" s="7" t="s">
        <v>22</v>
      </c>
      <c r="D229" s="7" t="s">
        <v>797</v>
      </c>
      <c r="E229" s="7" t="n">
        <v>35</v>
      </c>
      <c r="F229" s="8" t="s">
        <v>786</v>
      </c>
      <c r="G229" s="8"/>
      <c r="H229" s="8"/>
      <c r="I229" s="8" t="s">
        <v>198</v>
      </c>
      <c r="J229" s="7" t="s">
        <v>45</v>
      </c>
      <c r="K229" s="7" t="n">
        <v>1</v>
      </c>
      <c r="L229" s="9" t="s">
        <v>46</v>
      </c>
      <c r="M229" s="10"/>
    </row>
    <row r="230" customFormat="false" ht="15" hidden="false" customHeight="false" outlineLevel="0" collapsed="false">
      <c r="A230" s="7" t="s">
        <v>798</v>
      </c>
      <c r="B230" s="7" t="s">
        <v>799</v>
      </c>
      <c r="C230" s="7" t="s">
        <v>22</v>
      </c>
      <c r="D230" s="7" t="s">
        <v>797</v>
      </c>
      <c r="E230" s="7" t="n">
        <v>70</v>
      </c>
      <c r="F230" s="8" t="s">
        <v>796</v>
      </c>
      <c r="G230" s="8"/>
      <c r="H230" s="8"/>
      <c r="I230" s="8" t="s">
        <v>800</v>
      </c>
      <c r="J230" s="7" t="s">
        <v>45</v>
      </c>
      <c r="K230" s="7" t="n">
        <v>1</v>
      </c>
      <c r="L230" s="9" t="s">
        <v>46</v>
      </c>
      <c r="M230" s="10"/>
    </row>
    <row r="231" customFormat="false" ht="23.85" hidden="false" customHeight="false" outlineLevel="0" collapsed="false">
      <c r="A231" s="7" t="s">
        <v>801</v>
      </c>
      <c r="B231" s="7" t="s">
        <v>802</v>
      </c>
      <c r="C231" s="7" t="s">
        <v>22</v>
      </c>
      <c r="D231" s="7" t="s">
        <v>797</v>
      </c>
      <c r="E231" s="7" t="n">
        <v>70</v>
      </c>
      <c r="F231" s="8" t="s">
        <v>803</v>
      </c>
      <c r="G231" s="8"/>
      <c r="H231" s="8"/>
      <c r="I231" s="8" t="s">
        <v>804</v>
      </c>
      <c r="J231" s="7" t="s">
        <v>45</v>
      </c>
      <c r="K231" s="7" t="n">
        <v>1</v>
      </c>
      <c r="L231" s="9" t="s">
        <v>46</v>
      </c>
      <c r="M231" s="10"/>
    </row>
    <row r="232" customFormat="false" ht="15" hidden="false" customHeight="false" outlineLevel="0" collapsed="false">
      <c r="A232" s="7" t="s">
        <v>805</v>
      </c>
      <c r="B232" s="7" t="s">
        <v>806</v>
      </c>
      <c r="C232" s="7" t="s">
        <v>22</v>
      </c>
      <c r="D232" s="7" t="s">
        <v>797</v>
      </c>
      <c r="E232" s="7" t="n">
        <v>70</v>
      </c>
      <c r="F232" s="8" t="s">
        <v>796</v>
      </c>
      <c r="G232" s="8"/>
      <c r="H232" s="8"/>
      <c r="I232" s="8" t="s">
        <v>807</v>
      </c>
      <c r="J232" s="7" t="s">
        <v>45</v>
      </c>
      <c r="K232" s="7" t="n">
        <v>1</v>
      </c>
      <c r="L232" s="9" t="s">
        <v>46</v>
      </c>
      <c r="M232" s="10"/>
    </row>
    <row r="233" customFormat="false" ht="15" hidden="false" customHeight="false" outlineLevel="0" collapsed="false">
      <c r="A233" s="7" t="s">
        <v>808</v>
      </c>
      <c r="B233" s="7" t="s">
        <v>809</v>
      </c>
      <c r="C233" s="7" t="s">
        <v>22</v>
      </c>
      <c r="D233" s="7" t="s">
        <v>810</v>
      </c>
      <c r="E233" s="7" t="n">
        <v>70</v>
      </c>
      <c r="F233" s="8" t="s">
        <v>786</v>
      </c>
      <c r="G233" s="8"/>
      <c r="H233" s="8"/>
      <c r="I233" s="8" t="s">
        <v>811</v>
      </c>
      <c r="J233" s="7" t="s">
        <v>45</v>
      </c>
      <c r="K233" s="7" t="n">
        <v>1</v>
      </c>
      <c r="L233" s="9" t="s">
        <v>46</v>
      </c>
      <c r="M233" s="10"/>
    </row>
    <row r="234" customFormat="false" ht="15" hidden="false" customHeight="false" outlineLevel="0" collapsed="false">
      <c r="A234" s="7" t="s">
        <v>812</v>
      </c>
      <c r="B234" s="7" t="s">
        <v>813</v>
      </c>
      <c r="C234" s="7" t="s">
        <v>22</v>
      </c>
      <c r="D234" s="7" t="s">
        <v>810</v>
      </c>
      <c r="E234" s="7" t="n">
        <v>70</v>
      </c>
      <c r="F234" s="8" t="s">
        <v>809</v>
      </c>
      <c r="G234" s="8"/>
      <c r="H234" s="8"/>
      <c r="I234" s="8" t="s">
        <v>800</v>
      </c>
      <c r="J234" s="7" t="s">
        <v>45</v>
      </c>
      <c r="K234" s="7" t="n">
        <v>1</v>
      </c>
      <c r="L234" s="9" t="s">
        <v>46</v>
      </c>
      <c r="M234" s="10"/>
    </row>
    <row r="235" customFormat="false" ht="15" hidden="false" customHeight="false" outlineLevel="0" collapsed="false">
      <c r="A235" s="7" t="s">
        <v>814</v>
      </c>
      <c r="B235" s="7" t="s">
        <v>815</v>
      </c>
      <c r="C235" s="7" t="s">
        <v>22</v>
      </c>
      <c r="D235" s="7" t="s">
        <v>810</v>
      </c>
      <c r="E235" s="7" t="n">
        <v>70</v>
      </c>
      <c r="F235" s="8" t="s">
        <v>809</v>
      </c>
      <c r="G235" s="8"/>
      <c r="H235" s="8"/>
      <c r="I235" s="8" t="s">
        <v>816</v>
      </c>
      <c r="J235" s="7" t="s">
        <v>45</v>
      </c>
      <c r="K235" s="7" t="n">
        <v>1</v>
      </c>
      <c r="L235" s="9" t="s">
        <v>46</v>
      </c>
      <c r="M235" s="10"/>
    </row>
    <row r="236" customFormat="false" ht="15" hidden="false" customHeight="false" outlineLevel="0" collapsed="false">
      <c r="A236" s="7" t="s">
        <v>817</v>
      </c>
      <c r="B236" s="7" t="s">
        <v>818</v>
      </c>
      <c r="C236" s="7" t="s">
        <v>22</v>
      </c>
      <c r="D236" s="7" t="s">
        <v>810</v>
      </c>
      <c r="E236" s="7" t="n">
        <v>70</v>
      </c>
      <c r="F236" s="8" t="s">
        <v>815</v>
      </c>
      <c r="G236" s="8"/>
      <c r="H236" s="8"/>
      <c r="I236" s="8" t="s">
        <v>819</v>
      </c>
      <c r="J236" s="7" t="s">
        <v>45</v>
      </c>
      <c r="K236" s="7" t="n">
        <v>1</v>
      </c>
      <c r="L236" s="9" t="s">
        <v>46</v>
      </c>
      <c r="M236" s="10"/>
    </row>
    <row r="237" customFormat="false" ht="23.85" hidden="false" customHeight="false" outlineLevel="0" collapsed="false">
      <c r="A237" s="7" t="s">
        <v>820</v>
      </c>
      <c r="B237" s="7" t="s">
        <v>821</v>
      </c>
      <c r="C237" s="7" t="s">
        <v>22</v>
      </c>
      <c r="D237" s="7" t="s">
        <v>810</v>
      </c>
      <c r="E237" s="7" t="n">
        <v>70</v>
      </c>
      <c r="F237" s="8" t="s">
        <v>822</v>
      </c>
      <c r="G237" s="8"/>
      <c r="H237" s="8"/>
      <c r="I237" s="8" t="s">
        <v>262</v>
      </c>
      <c r="J237" s="7" t="s">
        <v>45</v>
      </c>
      <c r="K237" s="7" t="n">
        <v>1</v>
      </c>
      <c r="L237" s="9" t="s">
        <v>46</v>
      </c>
      <c r="M237" s="10"/>
    </row>
    <row r="238" customFormat="false" ht="15" hidden="false" customHeight="false" outlineLevel="0" collapsed="false">
      <c r="A238" s="7" t="s">
        <v>823</v>
      </c>
      <c r="B238" s="7" t="s">
        <v>824</v>
      </c>
      <c r="C238" s="7" t="s">
        <v>22</v>
      </c>
      <c r="D238" s="7" t="s">
        <v>810</v>
      </c>
      <c r="E238" s="7" t="n">
        <v>70</v>
      </c>
      <c r="F238" s="8" t="s">
        <v>793</v>
      </c>
      <c r="G238" s="8"/>
      <c r="H238" s="8"/>
      <c r="I238" s="8" t="s">
        <v>560</v>
      </c>
      <c r="J238" s="7" t="s">
        <v>45</v>
      </c>
      <c r="K238" s="7" t="n">
        <v>1</v>
      </c>
      <c r="L238" s="9" t="s">
        <v>46</v>
      </c>
      <c r="M238" s="10"/>
    </row>
    <row r="239" customFormat="false" ht="15" hidden="false" customHeight="false" outlineLevel="0" collapsed="false">
      <c r="A239" s="7" t="s">
        <v>825</v>
      </c>
      <c r="B239" s="7" t="s">
        <v>826</v>
      </c>
      <c r="C239" s="7" t="s">
        <v>22</v>
      </c>
      <c r="D239" s="7" t="s">
        <v>810</v>
      </c>
      <c r="E239" s="7" t="n">
        <v>70</v>
      </c>
      <c r="F239" s="8" t="s">
        <v>818</v>
      </c>
      <c r="G239" s="8"/>
      <c r="H239" s="8"/>
      <c r="I239" s="8" t="s">
        <v>560</v>
      </c>
      <c r="J239" s="7" t="s">
        <v>45</v>
      </c>
      <c r="K239" s="7" t="n">
        <v>1</v>
      </c>
      <c r="L239" s="9" t="s">
        <v>46</v>
      </c>
      <c r="M239" s="10"/>
    </row>
    <row r="240" customFormat="false" ht="15" hidden="false" customHeight="false" outlineLevel="0" collapsed="false">
      <c r="A240" s="7" t="s">
        <v>827</v>
      </c>
      <c r="B240" s="7" t="s">
        <v>828</v>
      </c>
      <c r="C240" s="7" t="s">
        <v>22</v>
      </c>
      <c r="D240" s="7" t="s">
        <v>810</v>
      </c>
      <c r="E240" s="7" t="n">
        <v>70</v>
      </c>
      <c r="F240" s="8" t="s">
        <v>826</v>
      </c>
      <c r="G240" s="8"/>
      <c r="H240" s="8"/>
      <c r="I240" s="8" t="s">
        <v>829</v>
      </c>
      <c r="J240" s="7" t="s">
        <v>45</v>
      </c>
      <c r="K240" s="7" t="n">
        <v>1</v>
      </c>
      <c r="L240" s="9" t="s">
        <v>46</v>
      </c>
      <c r="M240" s="10"/>
    </row>
    <row r="241" customFormat="false" ht="15" hidden="false" customHeight="false" outlineLevel="0" collapsed="false">
      <c r="A241" s="7" t="s">
        <v>830</v>
      </c>
      <c r="B241" s="7" t="s">
        <v>831</v>
      </c>
      <c r="C241" s="7" t="s">
        <v>22</v>
      </c>
      <c r="D241" s="7" t="s">
        <v>810</v>
      </c>
      <c r="E241" s="7" t="n">
        <v>70</v>
      </c>
      <c r="F241" s="8" t="s">
        <v>832</v>
      </c>
      <c r="G241" s="8"/>
      <c r="H241" s="8"/>
      <c r="I241" s="8" t="s">
        <v>833</v>
      </c>
      <c r="J241" s="7" t="s">
        <v>45</v>
      </c>
      <c r="K241" s="7" t="n">
        <v>1</v>
      </c>
      <c r="L241" s="9" t="s">
        <v>46</v>
      </c>
      <c r="M241" s="10"/>
    </row>
    <row r="242" customFormat="false" ht="15" hidden="false" customHeight="false" outlineLevel="0" collapsed="false">
      <c r="A242" s="7" t="s">
        <v>834</v>
      </c>
      <c r="B242" s="7" t="s">
        <v>835</v>
      </c>
      <c r="C242" s="7" t="s">
        <v>22</v>
      </c>
      <c r="D242" s="7" t="s">
        <v>810</v>
      </c>
      <c r="E242" s="7" t="n">
        <v>35</v>
      </c>
      <c r="F242" s="8" t="s">
        <v>793</v>
      </c>
      <c r="G242" s="8"/>
      <c r="H242" s="8"/>
      <c r="I242" s="8" t="s">
        <v>265</v>
      </c>
      <c r="J242" s="7" t="s">
        <v>45</v>
      </c>
      <c r="K242" s="7" t="n">
        <v>1</v>
      </c>
      <c r="L242" s="9" t="s">
        <v>46</v>
      </c>
      <c r="M242" s="10"/>
    </row>
    <row r="243" customFormat="false" ht="23.85" hidden="false" customHeight="false" outlineLevel="0" collapsed="false">
      <c r="A243" s="7" t="s">
        <v>836</v>
      </c>
      <c r="B243" s="7" t="s">
        <v>837</v>
      </c>
      <c r="C243" s="7" t="s">
        <v>22</v>
      </c>
      <c r="D243" s="7" t="s">
        <v>810</v>
      </c>
      <c r="E243" s="7" t="n">
        <v>35</v>
      </c>
      <c r="F243" s="8" t="s">
        <v>838</v>
      </c>
      <c r="G243" s="8"/>
      <c r="H243" s="8"/>
      <c r="I243" s="8" t="s">
        <v>839</v>
      </c>
      <c r="J243" s="7" t="s">
        <v>45</v>
      </c>
      <c r="K243" s="7" t="n">
        <v>1</v>
      </c>
      <c r="L243" s="9" t="s">
        <v>46</v>
      </c>
      <c r="M243" s="10"/>
    </row>
    <row r="244" customFormat="false" ht="23.85" hidden="false" customHeight="false" outlineLevel="0" collapsed="false">
      <c r="A244" s="7" t="s">
        <v>840</v>
      </c>
      <c r="B244" s="7" t="s">
        <v>841</v>
      </c>
      <c r="C244" s="7" t="s">
        <v>22</v>
      </c>
      <c r="D244" s="7" t="s">
        <v>810</v>
      </c>
      <c r="E244" s="7" t="n">
        <v>70</v>
      </c>
      <c r="F244" s="8" t="s">
        <v>842</v>
      </c>
      <c r="G244" s="8"/>
      <c r="H244" s="8"/>
      <c r="I244" s="8" t="s">
        <v>476</v>
      </c>
      <c r="J244" s="7" t="s">
        <v>45</v>
      </c>
      <c r="K244" s="7" t="n">
        <v>1</v>
      </c>
      <c r="L244" s="9" t="s">
        <v>46</v>
      </c>
      <c r="M244" s="10"/>
    </row>
    <row r="245" customFormat="false" ht="15" hidden="false" customHeight="false" outlineLevel="0" collapsed="false">
      <c r="A245" s="7" t="s">
        <v>843</v>
      </c>
      <c r="B245" s="7" t="s">
        <v>844</v>
      </c>
      <c r="C245" s="7" t="s">
        <v>22</v>
      </c>
      <c r="D245" s="7" t="s">
        <v>810</v>
      </c>
      <c r="E245" s="7" t="n">
        <v>70</v>
      </c>
      <c r="F245" s="8" t="s">
        <v>841</v>
      </c>
      <c r="G245" s="8"/>
      <c r="H245" s="8"/>
      <c r="I245" s="8" t="s">
        <v>845</v>
      </c>
      <c r="J245" s="7" t="s">
        <v>45</v>
      </c>
      <c r="K245" s="7" t="n">
        <v>0</v>
      </c>
      <c r="L245" s="9" t="s">
        <v>46</v>
      </c>
      <c r="M245" s="10"/>
    </row>
    <row r="246" customFormat="false" ht="35.05" hidden="false" customHeight="false" outlineLevel="0" collapsed="false">
      <c r="A246" s="7" t="s">
        <v>846</v>
      </c>
      <c r="B246" s="7" t="s">
        <v>847</v>
      </c>
      <c r="C246" s="7" t="s">
        <v>22</v>
      </c>
      <c r="D246" s="7" t="s">
        <v>810</v>
      </c>
      <c r="E246" s="7" t="n">
        <v>105</v>
      </c>
      <c r="F246" s="8" t="s">
        <v>848</v>
      </c>
      <c r="G246" s="8"/>
      <c r="H246" s="8"/>
      <c r="I246" s="8" t="s">
        <v>849</v>
      </c>
      <c r="J246" s="7" t="s">
        <v>45</v>
      </c>
      <c r="K246" s="7" t="n">
        <v>3</v>
      </c>
      <c r="L246" s="9" t="s">
        <v>46</v>
      </c>
      <c r="M246" s="10"/>
    </row>
    <row r="247" customFormat="false" ht="15" hidden="false" customHeight="false" outlineLevel="0" collapsed="false">
      <c r="A247" s="7" t="s">
        <v>850</v>
      </c>
      <c r="B247" s="7" t="s">
        <v>851</v>
      </c>
      <c r="C247" s="7" t="s">
        <v>22</v>
      </c>
      <c r="D247" s="7" t="s">
        <v>810</v>
      </c>
      <c r="E247" s="7" t="n">
        <v>70</v>
      </c>
      <c r="F247" s="8" t="s">
        <v>847</v>
      </c>
      <c r="G247" s="8"/>
      <c r="H247" s="8"/>
      <c r="I247" s="8" t="s">
        <v>852</v>
      </c>
      <c r="J247" s="7" t="s">
        <v>45</v>
      </c>
      <c r="K247" s="7" t="n">
        <v>1</v>
      </c>
      <c r="L247" s="9" t="s">
        <v>46</v>
      </c>
      <c r="M247" s="10"/>
    </row>
    <row r="248" customFormat="false" ht="23.85" hidden="false" customHeight="false" outlineLevel="0" collapsed="false">
      <c r="A248" s="7" t="s">
        <v>853</v>
      </c>
      <c r="B248" s="7" t="s">
        <v>854</v>
      </c>
      <c r="C248" s="7" t="s">
        <v>22</v>
      </c>
      <c r="D248" s="7" t="s">
        <v>810</v>
      </c>
      <c r="E248" s="7" t="n">
        <v>140</v>
      </c>
      <c r="F248" s="8" t="s">
        <v>855</v>
      </c>
      <c r="G248" s="8"/>
      <c r="H248" s="8"/>
      <c r="I248" s="8" t="s">
        <v>856</v>
      </c>
      <c r="J248" s="7" t="s">
        <v>45</v>
      </c>
      <c r="K248" s="7" t="n">
        <v>5</v>
      </c>
      <c r="L248" s="9" t="s">
        <v>46</v>
      </c>
      <c r="M248" s="10"/>
    </row>
  </sheetData>
  <autoFilter ref="A1:M248"/>
  <dataValidations count="1">
    <dataValidation allowBlank="true" errorStyle="stop" operator="between" showDropDown="false" showErrorMessage="false" showInputMessage="false" sqref="L2:L248" type="list">
      <formula1>"Written,In-game tested,Needs fix,Approved"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30" hidden="false" customHeight="true" outlineLevel="0" collapsed="false">
      <c r="A1" s="6" t="s">
        <v>857</v>
      </c>
      <c r="B1" s="6" t="s">
        <v>30</v>
      </c>
      <c r="C1" s="6" t="s">
        <v>858</v>
      </c>
      <c r="D1" s="6" t="s">
        <v>859</v>
      </c>
      <c r="E1" s="6" t="s">
        <v>860</v>
      </c>
      <c r="F1" s="6" t="s">
        <v>861</v>
      </c>
    </row>
    <row r="2" customFormat="false" ht="35.05" hidden="false" customHeight="false" outlineLevel="0" collapsed="false">
      <c r="A2" s="7" t="s">
        <v>862</v>
      </c>
      <c r="B2" s="7" t="s">
        <v>863</v>
      </c>
      <c r="C2" s="7" t="s">
        <v>864</v>
      </c>
      <c r="D2" s="8" t="s">
        <v>865</v>
      </c>
      <c r="E2" s="8" t="s">
        <v>866</v>
      </c>
      <c r="F2" s="8" t="s">
        <v>867</v>
      </c>
    </row>
    <row r="3" customFormat="false" ht="23.85" hidden="false" customHeight="false" outlineLevel="0" collapsed="false">
      <c r="A3" s="7" t="s">
        <v>868</v>
      </c>
      <c r="B3" s="7" t="s">
        <v>869</v>
      </c>
      <c r="C3" s="7" t="s">
        <v>864</v>
      </c>
      <c r="D3" s="8" t="s">
        <v>870</v>
      </c>
      <c r="E3" s="8" t="s">
        <v>866</v>
      </c>
      <c r="F3" s="8" t="s">
        <v>871</v>
      </c>
    </row>
    <row r="4" customFormat="false" ht="15" hidden="false" customHeight="false" outlineLevel="0" collapsed="false">
      <c r="A4" s="7" t="s">
        <v>872</v>
      </c>
      <c r="B4" s="7" t="s">
        <v>869</v>
      </c>
      <c r="C4" s="7" t="s">
        <v>873</v>
      </c>
      <c r="D4" s="8" t="s">
        <v>874</v>
      </c>
      <c r="E4" s="8" t="s">
        <v>281</v>
      </c>
      <c r="F4" s="8" t="s">
        <v>875</v>
      </c>
    </row>
    <row r="5" customFormat="false" ht="35.05" hidden="false" customHeight="false" outlineLevel="0" collapsed="false">
      <c r="A5" s="7" t="s">
        <v>876</v>
      </c>
      <c r="B5" s="7" t="s">
        <v>877</v>
      </c>
      <c r="C5" s="7" t="s">
        <v>864</v>
      </c>
      <c r="D5" s="8" t="s">
        <v>878</v>
      </c>
      <c r="E5" s="8" t="s">
        <v>866</v>
      </c>
      <c r="F5" s="8" t="s">
        <v>879</v>
      </c>
    </row>
    <row r="6" customFormat="false" ht="23.85" hidden="false" customHeight="false" outlineLevel="0" collapsed="false">
      <c r="A6" s="7" t="s">
        <v>880</v>
      </c>
      <c r="B6" s="7" t="s">
        <v>877</v>
      </c>
      <c r="C6" s="7" t="s">
        <v>873</v>
      </c>
      <c r="D6" s="8" t="s">
        <v>881</v>
      </c>
      <c r="E6" s="8" t="s">
        <v>297</v>
      </c>
      <c r="F6" s="8" t="s">
        <v>882</v>
      </c>
    </row>
    <row r="7" customFormat="false" ht="23.85" hidden="false" customHeight="false" outlineLevel="0" collapsed="false">
      <c r="A7" s="7" t="s">
        <v>883</v>
      </c>
      <c r="B7" s="7" t="s">
        <v>884</v>
      </c>
      <c r="C7" s="7" t="s">
        <v>864</v>
      </c>
      <c r="D7" s="8" t="s">
        <v>885</v>
      </c>
      <c r="E7" s="8" t="s">
        <v>866</v>
      </c>
      <c r="F7" s="8" t="s">
        <v>886</v>
      </c>
    </row>
    <row r="8" customFormat="false" ht="23.85" hidden="false" customHeight="false" outlineLevel="0" collapsed="false">
      <c r="A8" s="7" t="s">
        <v>887</v>
      </c>
      <c r="B8" s="7" t="s">
        <v>888</v>
      </c>
      <c r="C8" s="7" t="s">
        <v>864</v>
      </c>
      <c r="D8" s="8" t="s">
        <v>889</v>
      </c>
      <c r="E8" s="8" t="s">
        <v>866</v>
      </c>
      <c r="F8" s="8" t="s">
        <v>890</v>
      </c>
    </row>
    <row r="9" customFormat="false" ht="23.85" hidden="false" customHeight="false" outlineLevel="0" collapsed="false">
      <c r="A9" s="7" t="s">
        <v>891</v>
      </c>
      <c r="B9" s="7" t="s">
        <v>892</v>
      </c>
      <c r="C9" s="7" t="s">
        <v>873</v>
      </c>
      <c r="D9" s="8" t="s">
        <v>893</v>
      </c>
      <c r="E9" s="8" t="s">
        <v>894</v>
      </c>
      <c r="F9" s="8" t="s">
        <v>895</v>
      </c>
    </row>
    <row r="10" customFormat="false" ht="35.05" hidden="false" customHeight="false" outlineLevel="0" collapsed="false">
      <c r="A10" s="7" t="s">
        <v>896</v>
      </c>
      <c r="B10" s="7" t="s">
        <v>897</v>
      </c>
      <c r="C10" s="7" t="s">
        <v>873</v>
      </c>
      <c r="D10" s="8" t="s">
        <v>898</v>
      </c>
      <c r="E10" s="8" t="s">
        <v>273</v>
      </c>
      <c r="F10" s="8" t="s">
        <v>899</v>
      </c>
    </row>
    <row r="11" customFormat="false" ht="23.85" hidden="false" customHeight="false" outlineLevel="0" collapsed="false">
      <c r="A11" s="7" t="s">
        <v>900</v>
      </c>
      <c r="B11" s="7" t="s">
        <v>901</v>
      </c>
      <c r="C11" s="7" t="s">
        <v>873</v>
      </c>
      <c r="D11" s="8" t="s">
        <v>902</v>
      </c>
      <c r="E11" s="8" t="s">
        <v>78</v>
      </c>
      <c r="F11" s="8" t="s">
        <v>903</v>
      </c>
    </row>
    <row r="12" customFormat="false" ht="35.05" hidden="false" customHeight="false" outlineLevel="0" collapsed="false">
      <c r="A12" s="7" t="s">
        <v>904</v>
      </c>
      <c r="B12" s="7" t="s">
        <v>905</v>
      </c>
      <c r="C12" s="7" t="s">
        <v>873</v>
      </c>
      <c r="D12" s="8" t="s">
        <v>906</v>
      </c>
      <c r="E12" s="8" t="s">
        <v>138</v>
      </c>
      <c r="F12" s="8" t="s">
        <v>907</v>
      </c>
    </row>
    <row r="13" customFormat="false" ht="23.85" hidden="false" customHeight="false" outlineLevel="0" collapsed="false">
      <c r="A13" s="7" t="s">
        <v>908</v>
      </c>
      <c r="B13" s="7" t="s">
        <v>217</v>
      </c>
      <c r="C13" s="7" t="s">
        <v>873</v>
      </c>
      <c r="D13" s="8" t="s">
        <v>909</v>
      </c>
      <c r="E13" s="8" t="s">
        <v>217</v>
      </c>
      <c r="F13" s="8" t="s">
        <v>910</v>
      </c>
    </row>
    <row r="14" customFormat="false" ht="23.85" hidden="false" customHeight="false" outlineLevel="0" collapsed="false">
      <c r="A14" s="7" t="s">
        <v>911</v>
      </c>
      <c r="B14" s="7" t="s">
        <v>912</v>
      </c>
      <c r="C14" s="7" t="s">
        <v>873</v>
      </c>
      <c r="D14" s="8" t="s">
        <v>913</v>
      </c>
      <c r="E14" s="8" t="s">
        <v>307</v>
      </c>
      <c r="F14" s="8" t="s">
        <v>914</v>
      </c>
    </row>
    <row r="15" customFormat="false" ht="35.05" hidden="false" customHeight="false" outlineLevel="0" collapsed="false">
      <c r="A15" s="7" t="s">
        <v>915</v>
      </c>
      <c r="B15" s="7" t="s">
        <v>340</v>
      </c>
      <c r="C15" s="7" t="s">
        <v>873</v>
      </c>
      <c r="D15" s="8" t="s">
        <v>916</v>
      </c>
      <c r="E15" s="8" t="s">
        <v>340</v>
      </c>
      <c r="F15" s="8" t="s">
        <v>917</v>
      </c>
    </row>
    <row r="16" customFormat="false" ht="46.25" hidden="false" customHeight="false" outlineLevel="0" collapsed="false">
      <c r="A16" s="7" t="s">
        <v>918</v>
      </c>
      <c r="B16" s="7" t="s">
        <v>919</v>
      </c>
      <c r="C16" s="7" t="s">
        <v>873</v>
      </c>
      <c r="D16" s="8" t="s">
        <v>920</v>
      </c>
      <c r="E16" s="8" t="s">
        <v>355</v>
      </c>
      <c r="F16" s="8" t="s">
        <v>921</v>
      </c>
    </row>
    <row r="17" customFormat="false" ht="35.05" hidden="false" customHeight="false" outlineLevel="0" collapsed="false">
      <c r="A17" s="7" t="s">
        <v>922</v>
      </c>
      <c r="B17" s="7" t="s">
        <v>359</v>
      </c>
      <c r="C17" s="7" t="s">
        <v>873</v>
      </c>
      <c r="D17" s="8" t="s">
        <v>923</v>
      </c>
      <c r="E17" s="8" t="s">
        <v>359</v>
      </c>
      <c r="F17" s="8" t="s">
        <v>924</v>
      </c>
    </row>
    <row r="18" customFormat="false" ht="15" hidden="false" customHeight="false" outlineLevel="0" collapsed="false">
      <c r="A18" s="7" t="s">
        <v>925</v>
      </c>
      <c r="B18" s="7" t="s">
        <v>291</v>
      </c>
      <c r="C18" s="7" t="s">
        <v>873</v>
      </c>
      <c r="D18" s="8" t="s">
        <v>926</v>
      </c>
      <c r="E18" s="8" t="s">
        <v>291</v>
      </c>
      <c r="F18" s="8" t="s">
        <v>927</v>
      </c>
    </row>
    <row r="19" customFormat="false" ht="23.85" hidden="false" customHeight="false" outlineLevel="0" collapsed="false">
      <c r="A19" s="7" t="s">
        <v>928</v>
      </c>
      <c r="B19" s="7" t="s">
        <v>929</v>
      </c>
      <c r="C19" s="7" t="s">
        <v>873</v>
      </c>
      <c r="D19" s="8" t="s">
        <v>930</v>
      </c>
      <c r="E19" s="8" t="s">
        <v>331</v>
      </c>
      <c r="F19" s="8" t="s">
        <v>931</v>
      </c>
    </row>
    <row r="20" customFormat="false" ht="23.85" hidden="false" customHeight="false" outlineLevel="0" collapsed="false">
      <c r="A20" s="7" t="s">
        <v>932</v>
      </c>
      <c r="B20" s="7" t="s">
        <v>933</v>
      </c>
      <c r="C20" s="7" t="s">
        <v>873</v>
      </c>
      <c r="D20" s="8" t="s">
        <v>934</v>
      </c>
      <c r="E20" s="8" t="s">
        <v>334</v>
      </c>
      <c r="F20" s="8" t="s">
        <v>935</v>
      </c>
    </row>
    <row r="21" customFormat="false" ht="35.05" hidden="false" customHeight="false" outlineLevel="0" collapsed="false">
      <c r="A21" s="7" t="s">
        <v>936</v>
      </c>
      <c r="B21" s="7" t="s">
        <v>937</v>
      </c>
      <c r="C21" s="7" t="s">
        <v>873</v>
      </c>
      <c r="D21" s="8" t="s">
        <v>938</v>
      </c>
      <c r="E21" s="8" t="s">
        <v>328</v>
      </c>
      <c r="F21" s="8" t="s">
        <v>939</v>
      </c>
    </row>
    <row r="22" customFormat="false" ht="23.85" hidden="false" customHeight="false" outlineLevel="0" collapsed="false">
      <c r="A22" s="7" t="s">
        <v>940</v>
      </c>
      <c r="B22" s="7" t="s">
        <v>941</v>
      </c>
      <c r="C22" s="7" t="s">
        <v>873</v>
      </c>
      <c r="D22" s="8" t="s">
        <v>942</v>
      </c>
      <c r="E22" s="8" t="s">
        <v>348</v>
      </c>
      <c r="F22" s="8" t="s">
        <v>943</v>
      </c>
    </row>
    <row r="23" customFormat="false" ht="23.85" hidden="false" customHeight="false" outlineLevel="0" collapsed="false">
      <c r="A23" s="7" t="s">
        <v>944</v>
      </c>
      <c r="B23" s="7" t="s">
        <v>363</v>
      </c>
      <c r="C23" s="7" t="s">
        <v>873</v>
      </c>
      <c r="D23" s="8" t="s">
        <v>945</v>
      </c>
      <c r="E23" s="8" t="s">
        <v>363</v>
      </c>
      <c r="F23" s="8" t="s">
        <v>946</v>
      </c>
    </row>
    <row r="24" customFormat="false" ht="23.85" hidden="false" customHeight="false" outlineLevel="0" collapsed="false">
      <c r="A24" s="7" t="s">
        <v>947</v>
      </c>
      <c r="B24" s="7" t="s">
        <v>367</v>
      </c>
      <c r="C24" s="7" t="s">
        <v>873</v>
      </c>
      <c r="D24" s="8" t="s">
        <v>948</v>
      </c>
      <c r="E24" s="8" t="s">
        <v>367</v>
      </c>
      <c r="F24" s="8" t="s">
        <v>949</v>
      </c>
    </row>
    <row r="25" customFormat="false" ht="23.85" hidden="false" customHeight="false" outlineLevel="0" collapsed="false">
      <c r="A25" s="7" t="s">
        <v>950</v>
      </c>
      <c r="B25" s="7" t="s">
        <v>374</v>
      </c>
      <c r="C25" s="7" t="s">
        <v>873</v>
      </c>
      <c r="D25" s="8" t="s">
        <v>951</v>
      </c>
      <c r="E25" s="8" t="s">
        <v>374</v>
      </c>
      <c r="F25" s="8" t="s">
        <v>952</v>
      </c>
    </row>
    <row r="26" customFormat="false" ht="35.05" hidden="false" customHeight="false" outlineLevel="0" collapsed="false">
      <c r="A26" s="7" t="s">
        <v>953</v>
      </c>
      <c r="B26" s="7" t="s">
        <v>378</v>
      </c>
      <c r="C26" s="7" t="s">
        <v>873</v>
      </c>
      <c r="D26" s="8" t="s">
        <v>954</v>
      </c>
      <c r="E26" s="8" t="s">
        <v>378</v>
      </c>
      <c r="F26" s="8" t="s">
        <v>955</v>
      </c>
    </row>
    <row r="27" customFormat="false" ht="23.85" hidden="false" customHeight="false" outlineLevel="0" collapsed="false">
      <c r="A27" s="7" t="s">
        <v>956</v>
      </c>
      <c r="B27" s="7" t="s">
        <v>957</v>
      </c>
      <c r="C27" s="7" t="s">
        <v>873</v>
      </c>
      <c r="D27" s="8" t="s">
        <v>958</v>
      </c>
      <c r="E27" s="8" t="s">
        <v>382</v>
      </c>
      <c r="F27" s="8" t="s">
        <v>959</v>
      </c>
    </row>
    <row r="28" customFormat="false" ht="23.85" hidden="false" customHeight="false" outlineLevel="0" collapsed="false">
      <c r="A28" s="7" t="s">
        <v>960</v>
      </c>
      <c r="B28" s="7" t="s">
        <v>961</v>
      </c>
      <c r="C28" s="7" t="s">
        <v>873</v>
      </c>
      <c r="D28" s="8" t="s">
        <v>962</v>
      </c>
      <c r="E28" s="8" t="s">
        <v>393</v>
      </c>
      <c r="F28" s="8" t="s">
        <v>963</v>
      </c>
    </row>
    <row r="29" customFormat="false" ht="23.85" hidden="false" customHeight="false" outlineLevel="0" collapsed="false">
      <c r="A29" s="7" t="s">
        <v>964</v>
      </c>
      <c r="B29" s="7" t="s">
        <v>495</v>
      </c>
      <c r="C29" s="7" t="s">
        <v>873</v>
      </c>
      <c r="D29" s="8" t="s">
        <v>965</v>
      </c>
      <c r="E29" s="8" t="s">
        <v>495</v>
      </c>
      <c r="F29" s="8" t="s">
        <v>966</v>
      </c>
    </row>
    <row r="30" customFormat="false" ht="15" hidden="false" customHeight="false" outlineLevel="0" collapsed="false">
      <c r="A30" s="7" t="s">
        <v>967</v>
      </c>
      <c r="B30" s="7" t="s">
        <v>968</v>
      </c>
      <c r="C30" s="7" t="s">
        <v>873</v>
      </c>
      <c r="D30" s="8" t="s">
        <v>969</v>
      </c>
      <c r="E30" s="8" t="s">
        <v>503</v>
      </c>
      <c r="F30" s="8" t="s">
        <v>970</v>
      </c>
    </row>
    <row r="31" customFormat="false" ht="15" hidden="false" customHeight="false" outlineLevel="0" collapsed="false">
      <c r="A31" s="7" t="s">
        <v>971</v>
      </c>
      <c r="B31" s="7" t="s">
        <v>526</v>
      </c>
      <c r="C31" s="7" t="s">
        <v>873</v>
      </c>
      <c r="D31" s="8" t="s">
        <v>972</v>
      </c>
      <c r="E31" s="8" t="s">
        <v>526</v>
      </c>
      <c r="F31" s="8" t="s">
        <v>973</v>
      </c>
    </row>
    <row r="32" customFormat="false" ht="15" hidden="false" customHeight="false" outlineLevel="0" collapsed="false">
      <c r="A32" s="7" t="s">
        <v>974</v>
      </c>
      <c r="B32" s="7" t="s">
        <v>540</v>
      </c>
      <c r="C32" s="7" t="s">
        <v>873</v>
      </c>
      <c r="D32" s="8" t="s">
        <v>975</v>
      </c>
      <c r="E32" s="8" t="s">
        <v>540</v>
      </c>
      <c r="F32" s="8" t="s">
        <v>976</v>
      </c>
    </row>
    <row r="33" customFormat="false" ht="15" hidden="false" customHeight="false" outlineLevel="0" collapsed="false">
      <c r="A33" s="7" t="s">
        <v>977</v>
      </c>
      <c r="B33" s="7" t="s">
        <v>978</v>
      </c>
      <c r="C33" s="7" t="s">
        <v>873</v>
      </c>
      <c r="D33" s="8" t="s">
        <v>979</v>
      </c>
      <c r="E33" s="8" t="s">
        <v>562</v>
      </c>
      <c r="F33" s="8" t="s">
        <v>980</v>
      </c>
    </row>
    <row r="34" customFormat="false" ht="23.85" hidden="false" customHeight="false" outlineLevel="0" collapsed="false">
      <c r="A34" s="7" t="s">
        <v>981</v>
      </c>
      <c r="B34" s="7" t="s">
        <v>568</v>
      </c>
      <c r="C34" s="7" t="s">
        <v>873</v>
      </c>
      <c r="D34" s="8" t="s">
        <v>982</v>
      </c>
      <c r="E34" s="8" t="s">
        <v>568</v>
      </c>
      <c r="F34" s="8" t="s">
        <v>983</v>
      </c>
    </row>
    <row r="35" customFormat="false" ht="23.85" hidden="false" customHeight="false" outlineLevel="0" collapsed="false">
      <c r="A35" s="7" t="s">
        <v>984</v>
      </c>
      <c r="B35" s="7" t="s">
        <v>569</v>
      </c>
      <c r="C35" s="7" t="s">
        <v>873</v>
      </c>
      <c r="D35" s="8" t="s">
        <v>985</v>
      </c>
      <c r="E35" s="8" t="s">
        <v>569</v>
      </c>
      <c r="F35" s="8" t="s">
        <v>986</v>
      </c>
    </row>
    <row r="36" customFormat="false" ht="15" hidden="false" customHeight="false" outlineLevel="0" collapsed="false">
      <c r="A36" s="7" t="s">
        <v>987</v>
      </c>
      <c r="B36" s="7" t="s">
        <v>988</v>
      </c>
      <c r="C36" s="7" t="s">
        <v>873</v>
      </c>
      <c r="D36" s="8" t="s">
        <v>989</v>
      </c>
      <c r="E36" s="8" t="s">
        <v>597</v>
      </c>
      <c r="F36" s="8" t="s">
        <v>990</v>
      </c>
    </row>
    <row r="37" customFormat="false" ht="35.05" hidden="false" customHeight="false" outlineLevel="0" collapsed="false">
      <c r="A37" s="7" t="s">
        <v>991</v>
      </c>
      <c r="B37" s="7" t="s">
        <v>992</v>
      </c>
      <c r="C37" s="7" t="s">
        <v>873</v>
      </c>
      <c r="D37" s="8" t="s">
        <v>993</v>
      </c>
      <c r="E37" s="8" t="s">
        <v>604</v>
      </c>
      <c r="F37" s="8" t="s">
        <v>994</v>
      </c>
    </row>
    <row r="38" customFormat="false" ht="15" hidden="false" customHeight="false" outlineLevel="0" collapsed="false">
      <c r="A38" s="7" t="s">
        <v>995</v>
      </c>
      <c r="B38" s="7" t="s">
        <v>996</v>
      </c>
      <c r="C38" s="7" t="s">
        <v>873</v>
      </c>
      <c r="D38" s="8" t="s">
        <v>997</v>
      </c>
      <c r="E38" s="8" t="s">
        <v>653</v>
      </c>
      <c r="F38" s="8" t="s">
        <v>998</v>
      </c>
    </row>
    <row r="39" customFormat="false" ht="23.85" hidden="false" customHeight="false" outlineLevel="0" collapsed="false">
      <c r="A39" s="7" t="s">
        <v>999</v>
      </c>
      <c r="B39" s="7" t="s">
        <v>656</v>
      </c>
      <c r="C39" s="7" t="s">
        <v>873</v>
      </c>
      <c r="D39" s="8" t="s">
        <v>1000</v>
      </c>
      <c r="E39" s="8" t="s">
        <v>656</v>
      </c>
      <c r="F39" s="8" t="s">
        <v>1001</v>
      </c>
    </row>
    <row r="40" customFormat="false" ht="23.85" hidden="false" customHeight="false" outlineLevel="0" collapsed="false">
      <c r="A40" s="7" t="s">
        <v>1002</v>
      </c>
      <c r="B40" s="7" t="s">
        <v>1003</v>
      </c>
      <c r="C40" s="7" t="s">
        <v>873</v>
      </c>
      <c r="D40" s="8" t="s">
        <v>1004</v>
      </c>
      <c r="E40" s="8" t="s">
        <v>742</v>
      </c>
      <c r="F40" s="8" t="s">
        <v>1005</v>
      </c>
    </row>
    <row r="41" customFormat="false" ht="23.85" hidden="false" customHeight="false" outlineLevel="0" collapsed="false">
      <c r="A41" s="7" t="s">
        <v>1006</v>
      </c>
      <c r="B41" s="7" t="s">
        <v>1007</v>
      </c>
      <c r="C41" s="7" t="s">
        <v>873</v>
      </c>
      <c r="D41" s="8" t="s">
        <v>1008</v>
      </c>
      <c r="E41" s="8" t="s">
        <v>750</v>
      </c>
      <c r="F41" s="8" t="s">
        <v>1009</v>
      </c>
    </row>
    <row r="42" customFormat="false" ht="23.85" hidden="false" customHeight="false" outlineLevel="0" collapsed="false">
      <c r="A42" s="7" t="s">
        <v>1010</v>
      </c>
      <c r="B42" s="7" t="s">
        <v>1011</v>
      </c>
      <c r="C42" s="7" t="s">
        <v>873</v>
      </c>
      <c r="D42" s="8" t="s">
        <v>1012</v>
      </c>
      <c r="E42" s="8" t="s">
        <v>759</v>
      </c>
      <c r="F42" s="8" t="s">
        <v>1013</v>
      </c>
    </row>
    <row r="43" customFormat="false" ht="23.85" hidden="false" customHeight="false" outlineLevel="0" collapsed="false">
      <c r="A43" s="7" t="s">
        <v>1014</v>
      </c>
      <c r="B43" s="7" t="s">
        <v>21</v>
      </c>
      <c r="C43" s="7" t="s">
        <v>873</v>
      </c>
      <c r="D43" s="8" t="s">
        <v>1015</v>
      </c>
      <c r="E43" s="8" t="s">
        <v>766</v>
      </c>
      <c r="F43" s="8" t="s">
        <v>1016</v>
      </c>
    </row>
    <row r="44" customFormat="false" ht="23.85" hidden="false" customHeight="false" outlineLevel="0" collapsed="false">
      <c r="A44" s="7" t="s">
        <v>1017</v>
      </c>
      <c r="B44" s="7" t="s">
        <v>774</v>
      </c>
      <c r="C44" s="7" t="s">
        <v>873</v>
      </c>
      <c r="D44" s="8" t="s">
        <v>1018</v>
      </c>
      <c r="E44" s="8" t="s">
        <v>774</v>
      </c>
      <c r="F44" s="8" t="s">
        <v>1019</v>
      </c>
    </row>
    <row r="45" customFormat="false" ht="23.85" hidden="false" customHeight="false" outlineLevel="0" collapsed="false">
      <c r="A45" s="7" t="s">
        <v>1020</v>
      </c>
      <c r="B45" s="7" t="s">
        <v>778</v>
      </c>
      <c r="C45" s="7" t="s">
        <v>873</v>
      </c>
      <c r="D45" s="8" t="s">
        <v>1021</v>
      </c>
      <c r="E45" s="8" t="s">
        <v>778</v>
      </c>
      <c r="F45" s="8" t="s">
        <v>1022</v>
      </c>
    </row>
    <row r="46" customFormat="false" ht="23.85" hidden="false" customHeight="false" outlineLevel="0" collapsed="false">
      <c r="A46" s="7" t="s">
        <v>1023</v>
      </c>
      <c r="B46" s="7" t="s">
        <v>782</v>
      </c>
      <c r="C46" s="7" t="s">
        <v>873</v>
      </c>
      <c r="D46" s="8" t="s">
        <v>1024</v>
      </c>
      <c r="E46" s="8" t="s">
        <v>782</v>
      </c>
      <c r="F46" s="8" t="s">
        <v>1025</v>
      </c>
    </row>
    <row r="47" customFormat="false" ht="23.85" hidden="false" customHeight="false" outlineLevel="0" collapsed="false">
      <c r="A47" s="7" t="s">
        <v>1026</v>
      </c>
      <c r="B47" s="7" t="s">
        <v>1027</v>
      </c>
      <c r="C47" s="7" t="s">
        <v>873</v>
      </c>
      <c r="D47" s="8" t="s">
        <v>1028</v>
      </c>
      <c r="E47" s="8" t="s">
        <v>809</v>
      </c>
      <c r="F47" s="8" t="s">
        <v>1029</v>
      </c>
    </row>
    <row r="48" customFormat="false" ht="23.85" hidden="false" customHeight="false" outlineLevel="0" collapsed="false">
      <c r="A48" s="7" t="s">
        <v>1030</v>
      </c>
      <c r="B48" s="7" t="s">
        <v>847</v>
      </c>
      <c r="C48" s="7" t="s">
        <v>873</v>
      </c>
      <c r="D48" s="8" t="s">
        <v>1031</v>
      </c>
      <c r="E48" s="8" t="s">
        <v>847</v>
      </c>
      <c r="F48" s="8" t="s">
        <v>1032</v>
      </c>
    </row>
    <row r="49" customFormat="false" ht="35.05" hidden="false" customHeight="false" outlineLevel="0" collapsed="false">
      <c r="A49" s="7" t="s">
        <v>1033</v>
      </c>
      <c r="B49" s="7" t="s">
        <v>1034</v>
      </c>
      <c r="C49" s="7" t="s">
        <v>873</v>
      </c>
      <c r="D49" s="8" t="s">
        <v>1035</v>
      </c>
      <c r="E49" s="8" t="s">
        <v>854</v>
      </c>
      <c r="F49" s="8" t="s">
        <v>1036</v>
      </c>
    </row>
  </sheetData>
  <autoFilter ref="A1:F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40"/>
  </cols>
  <sheetData>
    <row r="1" customFormat="false" ht="30" hidden="false" customHeight="true" outlineLevel="0" collapsed="false">
      <c r="A1" s="6" t="s">
        <v>1037</v>
      </c>
      <c r="B1" s="6" t="s">
        <v>1038</v>
      </c>
      <c r="C1" s="6" t="s">
        <v>1039</v>
      </c>
      <c r="D1" s="6" t="s">
        <v>1040</v>
      </c>
      <c r="E1" s="6" t="s">
        <v>39</v>
      </c>
      <c r="F1" s="6" t="s">
        <v>1041</v>
      </c>
    </row>
    <row r="2" customFormat="false" ht="15" hidden="false" customHeight="false" outlineLevel="0" collapsed="false">
      <c r="A2" s="8" t="s">
        <v>1042</v>
      </c>
      <c r="B2" s="8" t="s">
        <v>1043</v>
      </c>
      <c r="C2" s="8" t="s">
        <v>1044</v>
      </c>
      <c r="D2" s="8" t="n">
        <v>60</v>
      </c>
      <c r="E2" s="8" t="s">
        <v>1045</v>
      </c>
      <c r="F2" s="8" t="s">
        <v>1046</v>
      </c>
    </row>
    <row r="3" customFormat="false" ht="15" hidden="false" customHeight="false" outlineLevel="0" collapsed="false">
      <c r="A3" s="8" t="s">
        <v>1047</v>
      </c>
      <c r="B3" s="8" t="s">
        <v>1048</v>
      </c>
      <c r="C3" s="8" t="s">
        <v>1044</v>
      </c>
      <c r="D3" s="8" t="n">
        <v>55</v>
      </c>
      <c r="E3" s="8" t="s">
        <v>1045</v>
      </c>
      <c r="F3" s="8" t="s">
        <v>1049</v>
      </c>
    </row>
    <row r="4" customFormat="false" ht="15" hidden="false" customHeight="false" outlineLevel="0" collapsed="false">
      <c r="A4" s="8" t="s">
        <v>1050</v>
      </c>
      <c r="B4" s="8" t="s">
        <v>1051</v>
      </c>
      <c r="C4" s="8" t="s">
        <v>1044</v>
      </c>
      <c r="D4" s="8" t="n">
        <v>50</v>
      </c>
      <c r="E4" s="8" t="s">
        <v>1045</v>
      </c>
      <c r="F4" s="8" t="s">
        <v>1049</v>
      </c>
    </row>
    <row r="5" customFormat="false" ht="15" hidden="false" customHeight="false" outlineLevel="0" collapsed="false">
      <c r="A5" s="8" t="s">
        <v>1052</v>
      </c>
      <c r="B5" s="8" t="s">
        <v>1053</v>
      </c>
      <c r="C5" s="8" t="s">
        <v>1044</v>
      </c>
      <c r="D5" s="8" t="n">
        <v>30</v>
      </c>
      <c r="E5" s="8" t="s">
        <v>1045</v>
      </c>
      <c r="F5" s="8" t="s">
        <v>1054</v>
      </c>
    </row>
    <row r="6" customFormat="false" ht="15" hidden="false" customHeight="false" outlineLevel="0" collapsed="false">
      <c r="A6" s="8" t="s">
        <v>1055</v>
      </c>
      <c r="B6" s="8" t="s">
        <v>1056</v>
      </c>
      <c r="C6" s="8" t="s">
        <v>1044</v>
      </c>
      <c r="D6" s="8" t="n">
        <v>85</v>
      </c>
      <c r="E6" s="8" t="s">
        <v>1045</v>
      </c>
      <c r="F6" s="8" t="s">
        <v>1057</v>
      </c>
    </row>
    <row r="7" customFormat="false" ht="15" hidden="false" customHeight="false" outlineLevel="0" collapsed="false">
      <c r="A7" s="8" t="s">
        <v>1058</v>
      </c>
      <c r="B7" s="8" t="s">
        <v>1059</v>
      </c>
      <c r="C7" s="8" t="s">
        <v>1044</v>
      </c>
      <c r="D7" s="8" t="n">
        <v>5</v>
      </c>
      <c r="E7" s="8" t="s">
        <v>1045</v>
      </c>
      <c r="F7" s="8" t="s">
        <v>1060</v>
      </c>
    </row>
    <row r="8" customFormat="false" ht="15" hidden="false" customHeight="false" outlineLevel="0" collapsed="false">
      <c r="A8" s="8" t="s">
        <v>1061</v>
      </c>
      <c r="B8" s="8" t="s">
        <v>1062</v>
      </c>
      <c r="C8" s="8" t="s">
        <v>1044</v>
      </c>
      <c r="D8" s="8" t="n">
        <v>40</v>
      </c>
      <c r="E8" s="8" t="s">
        <v>1045</v>
      </c>
      <c r="F8" s="8" t="s">
        <v>1063</v>
      </c>
    </row>
    <row r="9" customFormat="false" ht="15" hidden="false" customHeight="false" outlineLevel="0" collapsed="false">
      <c r="A9" s="8" t="s">
        <v>1064</v>
      </c>
      <c r="B9" s="8" t="s">
        <v>1065</v>
      </c>
      <c r="C9" s="8" t="s">
        <v>1044</v>
      </c>
      <c r="D9" s="8" t="n">
        <v>40</v>
      </c>
      <c r="E9" s="8" t="s">
        <v>1045</v>
      </c>
      <c r="F9" s="8" t="s">
        <v>1066</v>
      </c>
    </row>
    <row r="10" customFormat="false" ht="23.85" hidden="false" customHeight="false" outlineLevel="0" collapsed="false">
      <c r="A10" s="8" t="s">
        <v>1067</v>
      </c>
      <c r="B10" s="8" t="s">
        <v>1068</v>
      </c>
      <c r="C10" s="8" t="s">
        <v>1044</v>
      </c>
      <c r="D10" s="8" t="n">
        <v>1</v>
      </c>
      <c r="E10" s="8" t="s">
        <v>1069</v>
      </c>
      <c r="F10" s="8" t="s">
        <v>1049</v>
      </c>
    </row>
    <row r="11" customFormat="false" ht="15" hidden="false" customHeight="false" outlineLevel="0" collapsed="false">
      <c r="A11" s="8" t="s">
        <v>1070</v>
      </c>
      <c r="B11" s="8" t="s">
        <v>1071</v>
      </c>
      <c r="C11" s="8" t="s">
        <v>1072</v>
      </c>
      <c r="D11" s="8" t="n">
        <v>20</v>
      </c>
      <c r="E11" s="8" t="s">
        <v>1073</v>
      </c>
      <c r="F11" s="8" t="s">
        <v>1074</v>
      </c>
    </row>
    <row r="12" customFormat="false" ht="15" hidden="false" customHeight="false" outlineLevel="0" collapsed="false">
      <c r="A12" s="8" t="s">
        <v>1075</v>
      </c>
      <c r="B12" s="8" t="s">
        <v>1076</v>
      </c>
      <c r="C12" s="8" t="s">
        <v>1072</v>
      </c>
      <c r="D12" s="8" t="n">
        <v>50</v>
      </c>
      <c r="E12" s="8" t="s">
        <v>1073</v>
      </c>
      <c r="F12" s="8" t="s">
        <v>1074</v>
      </c>
    </row>
    <row r="13" customFormat="false" ht="15" hidden="false" customHeight="false" outlineLevel="0" collapsed="false">
      <c r="A13" s="8" t="s">
        <v>1077</v>
      </c>
      <c r="B13" s="8" t="s">
        <v>1078</v>
      </c>
      <c r="C13" s="8" t="s">
        <v>1072</v>
      </c>
      <c r="D13" s="8" t="n">
        <v>85</v>
      </c>
      <c r="E13" s="8" t="s">
        <v>1073</v>
      </c>
      <c r="F13" s="8" t="s">
        <v>1074</v>
      </c>
    </row>
    <row r="15" customFormat="false" ht="15" hidden="false" customHeight="false" outlineLevel="0" collapsed="false">
      <c r="A15" s="11" t="s">
        <v>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0"/>
    <col collapsed="false" customWidth="true" hidden="false" outlineLevel="0" max="4" min="3" style="0" width="12"/>
  </cols>
  <sheetData>
    <row r="1" customFormat="false" ht="30" hidden="false" customHeight="true" outlineLevel="0" collapsed="false">
      <c r="A1" s="6" t="s">
        <v>1080</v>
      </c>
      <c r="B1" s="6" t="s">
        <v>1081</v>
      </c>
      <c r="C1" s="6" t="s">
        <v>1082</v>
      </c>
      <c r="D1" s="6" t="s">
        <v>1083</v>
      </c>
    </row>
    <row r="2" customFormat="false" ht="15" hidden="false" customHeight="false" outlineLevel="0" collapsed="false">
      <c r="A2" s="3" t="s">
        <v>1084</v>
      </c>
      <c r="B2" s="3" t="s">
        <v>1085</v>
      </c>
      <c r="C2" s="3" t="n">
        <v>5516</v>
      </c>
      <c r="D2" s="3" t="n">
        <v>0</v>
      </c>
    </row>
    <row r="3" customFormat="false" ht="15" hidden="false" customHeight="false" outlineLevel="0" collapsed="false">
      <c r="A3" s="3" t="s">
        <v>1086</v>
      </c>
      <c r="B3" s="3" t="s">
        <v>1087</v>
      </c>
      <c r="C3" s="3" t="n">
        <v>467</v>
      </c>
      <c r="D3" s="3" t="n">
        <v>0</v>
      </c>
    </row>
    <row r="4" customFormat="false" ht="15" hidden="false" customHeight="false" outlineLevel="0" collapsed="false">
      <c r="A4" s="3" t="s">
        <v>1088</v>
      </c>
      <c r="B4" s="3" t="s">
        <v>1089</v>
      </c>
      <c r="C4" s="3" t="n">
        <v>65</v>
      </c>
      <c r="D4" s="3" t="n">
        <v>0</v>
      </c>
    </row>
    <row r="5" customFormat="false" ht="15" hidden="false" customHeight="false" outlineLevel="0" collapsed="false">
      <c r="A5" s="3" t="s">
        <v>1090</v>
      </c>
      <c r="B5" s="3" t="s">
        <v>1091</v>
      </c>
      <c r="C5" s="3" t="n">
        <v>31</v>
      </c>
      <c r="D5" s="3" t="n">
        <v>0</v>
      </c>
    </row>
    <row r="6" customFormat="false" ht="15" hidden="false" customHeight="false" outlineLevel="0" collapsed="false">
      <c r="A6" s="3" t="s">
        <v>1092</v>
      </c>
      <c r="B6" s="3" t="s">
        <v>1093</v>
      </c>
      <c r="C6" s="3" t="n">
        <v>15</v>
      </c>
      <c r="D6" s="3" t="n">
        <v>0</v>
      </c>
    </row>
    <row r="7" customFormat="false" ht="15" hidden="false" customHeight="false" outlineLevel="0" collapsed="false">
      <c r="A7" s="3" t="s">
        <v>1094</v>
      </c>
      <c r="B7" s="3" t="s">
        <v>1095</v>
      </c>
      <c r="C7" s="3" t="n">
        <v>611</v>
      </c>
      <c r="D7" s="3" t="n">
        <v>0</v>
      </c>
    </row>
    <row r="8" customFormat="false" ht="15" hidden="false" customHeight="false" outlineLevel="0" collapsed="false">
      <c r="A8" s="3" t="s">
        <v>1096</v>
      </c>
      <c r="B8" s="3" t="s">
        <v>1097</v>
      </c>
      <c r="C8" s="3" t="n">
        <v>1</v>
      </c>
      <c r="D8" s="3" t="n">
        <v>0</v>
      </c>
    </row>
    <row r="9" customFormat="false" ht="15" hidden="false" customHeight="false" outlineLevel="0" collapsed="false">
      <c r="A9" s="2" t="s">
        <v>23</v>
      </c>
      <c r="C9" s="2" t="n">
        <f aca="false">SUM(C2:C8)</f>
        <v>6706</v>
      </c>
      <c r="D9" s="2" t="n">
        <f aca="false">SUM(D2:D8)</f>
        <v>0</v>
      </c>
    </row>
    <row r="11" customFormat="false" ht="15" hidden="false" customHeight="false" outlineLevel="0" collapsed="false">
      <c r="A11" s="11" t="s">
        <v>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2026-10-17T05:21:45Z</dcterms:created>
  <dc:creator>openpyxl</dc:creator>
  <dc:description/>
  <dc:language>en-US</dc:language>
  <cp:lastModifiedBy/>
  <dcterms:modified xsi:type="dcterms:W3CDTF">2026-10-17T05:21:45Z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